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yearuptemp-my.sharepoint.com/personal/ilee_my_yearupunited_org/Documents/Documents/PracticeExercises/week-01/"/>
    </mc:Choice>
  </mc:AlternateContent>
  <xr:revisionPtr revIDLastSave="0" documentId="8_{F717A3C7-E657-4B10-9CBB-C81CAB24D64D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Sheet2" sheetId="3" r:id="rId1"/>
    <sheet name="Sheet1" sheetId="2" r:id="rId2"/>
    <sheet name="Retail Sales Data" sheetId="1" r:id="rId3"/>
  </sheets>
  <definedNames>
    <definedName name="_xlcn.WorksheetConnection_digital_storytelling_sales_dataset.xlsxSalesData1" hidden="1">SalesData[]</definedName>
  </definedNames>
  <calcPr calcId="191029"/>
  <pivotCaches>
    <pivotCache cacheId="42" r:id="rId4"/>
    <pivotCache cacheId="38" r:id="rId5"/>
  </pivotCaches>
  <extLst>
    <ext xmlns:x15="http://schemas.microsoft.com/office/spreadsheetml/2010/11/main" uri="{FCE2AD5D-F65C-4FA6-A056-5C36A1767C68}">
      <x15:dataModel>
        <x15:modelTables>
          <x15:modelTable id="SalesData" name="SalesData" connection="WorksheetConnection_digital_storytelling_sales_dataset.xlsx!Sales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E95A7E-2DC7-4720-9496-D589A0D352D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D2A25D9-F90E-49EC-AA8C-FBF37F7DF19D}" name="WorksheetConnection_digital_storytelling_sales_dataset.xlsx!SalesData" type="102" refreshedVersion="8" minRefreshableVersion="5">
    <extLst>
      <ext xmlns:x15="http://schemas.microsoft.com/office/spreadsheetml/2010/11/main" uri="{DE250136-89BD-433C-8126-D09CA5730AF9}">
        <x15:connection id="SalesData" autoDelete="1">
          <x15:rangePr sourceName="_xlcn.WorksheetConnection_digital_storytelling_sales_dataset.xlsxSalesData1"/>
        </x15:connection>
      </ext>
    </extLst>
  </connection>
</connections>
</file>

<file path=xl/sharedStrings.xml><?xml version="1.0" encoding="utf-8"?>
<sst xmlns="http://schemas.openxmlformats.org/spreadsheetml/2006/main" count="658" uniqueCount="123">
  <si>
    <t>Order ID</t>
  </si>
  <si>
    <t>Date</t>
  </si>
  <si>
    <t>Region</t>
  </si>
  <si>
    <t>Product</t>
  </si>
  <si>
    <t>Category</t>
  </si>
  <si>
    <t>Customer</t>
  </si>
  <si>
    <t>Units Sold</t>
  </si>
  <si>
    <t>Unit Price</t>
  </si>
  <si>
    <t>Total Sales</t>
  </si>
  <si>
    <t>2025-04-21</t>
  </si>
  <si>
    <t>South</t>
  </si>
  <si>
    <t>Laptop</t>
  </si>
  <si>
    <t>Technology</t>
  </si>
  <si>
    <t>Hernandez</t>
  </si>
  <si>
    <t>2025-03-21</t>
  </si>
  <si>
    <t>East</t>
  </si>
  <si>
    <t>Monitor</t>
  </si>
  <si>
    <t>Lopez</t>
  </si>
  <si>
    <t>2025-01-18</t>
  </si>
  <si>
    <t>Desk</t>
  </si>
  <si>
    <t>Furniture</t>
  </si>
  <si>
    <t>Wilson</t>
  </si>
  <si>
    <t>2025-04-28</t>
  </si>
  <si>
    <t>Taylor</t>
  </si>
  <si>
    <t>2025-03-19</t>
  </si>
  <si>
    <t>West</t>
  </si>
  <si>
    <t>Printer</t>
  </si>
  <si>
    <t>Anderson</t>
  </si>
  <si>
    <t>2025-04-19</t>
  </si>
  <si>
    <t>North</t>
  </si>
  <si>
    <t>Bookshelf</t>
  </si>
  <si>
    <t>2025-02-03</t>
  </si>
  <si>
    <t>Smith</t>
  </si>
  <si>
    <t>2025-04-02</t>
  </si>
  <si>
    <t>2025-02-10</t>
  </si>
  <si>
    <t>Chair</t>
  </si>
  <si>
    <t>2025-02-25</t>
  </si>
  <si>
    <t>2025-03-17</t>
  </si>
  <si>
    <t>Rodriguez</t>
  </si>
  <si>
    <t>2025-03-30</t>
  </si>
  <si>
    <t>Davis</t>
  </si>
  <si>
    <t>2025-04-08</t>
  </si>
  <si>
    <t>Thomas</t>
  </si>
  <si>
    <t>2025-03-22</t>
  </si>
  <si>
    <t>Jones</t>
  </si>
  <si>
    <t>2025-03-25</t>
  </si>
  <si>
    <t>Brown</t>
  </si>
  <si>
    <t>2025-03-24</t>
  </si>
  <si>
    <t>Phone</t>
  </si>
  <si>
    <t>Jackson</t>
  </si>
  <si>
    <t>2025-03-15</t>
  </si>
  <si>
    <t>2025-04-27</t>
  </si>
  <si>
    <t>2025-01-07</t>
  </si>
  <si>
    <t>Garcia</t>
  </si>
  <si>
    <t>2025-02-06</t>
  </si>
  <si>
    <t>2025-04-04</t>
  </si>
  <si>
    <t>Johnson</t>
  </si>
  <si>
    <t>2025-02-05</t>
  </si>
  <si>
    <t>2025-03-16</t>
  </si>
  <si>
    <t>Tablet</t>
  </si>
  <si>
    <t>2025-04-01</t>
  </si>
  <si>
    <t>2025-01-08</t>
  </si>
  <si>
    <t>2025-03-03</t>
  </si>
  <si>
    <t>2025-01-27</t>
  </si>
  <si>
    <t>Williams</t>
  </si>
  <si>
    <t>2025-03-06</t>
  </si>
  <si>
    <t>2025-01-19</t>
  </si>
  <si>
    <t>Miller</t>
  </si>
  <si>
    <t>2025-03-14</t>
  </si>
  <si>
    <t>2025-01-13</t>
  </si>
  <si>
    <t>2025-02-01</t>
  </si>
  <si>
    <t>2025-04-17</t>
  </si>
  <si>
    <t>Martinez</t>
  </si>
  <si>
    <t>2025-01-24</t>
  </si>
  <si>
    <t>2025-01-21</t>
  </si>
  <si>
    <t>Martin</t>
  </si>
  <si>
    <t>2025-02-26</t>
  </si>
  <si>
    <t>2025-01-30</t>
  </si>
  <si>
    <t>Gonzalez</t>
  </si>
  <si>
    <t>2025-02-19</t>
  </si>
  <si>
    <t>2025-01-26</t>
  </si>
  <si>
    <t>2025-02-13</t>
  </si>
  <si>
    <t>Moore</t>
  </si>
  <si>
    <t>2025-03-13</t>
  </si>
  <si>
    <t>2025-01-29</t>
  </si>
  <si>
    <t>2025-01-04</t>
  </si>
  <si>
    <t>2025-04-25</t>
  </si>
  <si>
    <t>2025-04-23</t>
  </si>
  <si>
    <t>2025-03-08</t>
  </si>
  <si>
    <t>2025-04-16</t>
  </si>
  <si>
    <t>2025-04-07</t>
  </si>
  <si>
    <t>2025-01-14</t>
  </si>
  <si>
    <t>2025-01-02</t>
  </si>
  <si>
    <t>2025-03-04</t>
  </si>
  <si>
    <t>2025-04-14</t>
  </si>
  <si>
    <t>2025-02-09</t>
  </si>
  <si>
    <t>2025-02-02</t>
  </si>
  <si>
    <t>2025-03-09</t>
  </si>
  <si>
    <t>2025-02-22</t>
  </si>
  <si>
    <t>2025-03-10</t>
  </si>
  <si>
    <t>2025-02-15</t>
  </si>
  <si>
    <t>2025-01-16</t>
  </si>
  <si>
    <t>2025-02-24</t>
  </si>
  <si>
    <t>2025-03-07</t>
  </si>
  <si>
    <t>2025-03-18</t>
  </si>
  <si>
    <t>2025-02-04</t>
  </si>
  <si>
    <t>2025-01-11</t>
  </si>
  <si>
    <t>2025-04-26</t>
  </si>
  <si>
    <t>2025-02-28</t>
  </si>
  <si>
    <t>2025-01-03</t>
  </si>
  <si>
    <t>2025-01-28</t>
  </si>
  <si>
    <t>2025-04-22</t>
  </si>
  <si>
    <t>2025-03-27</t>
  </si>
  <si>
    <t>2025-01-09</t>
  </si>
  <si>
    <t>2025-03-28</t>
  </si>
  <si>
    <t>2025-01-06</t>
  </si>
  <si>
    <t>2025-02-27</t>
  </si>
  <si>
    <t>2025-02-08</t>
  </si>
  <si>
    <t>Check Sales</t>
  </si>
  <si>
    <t>Match</t>
  </si>
  <si>
    <t>Row Labels</t>
  </si>
  <si>
    <t>Grand Total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</si>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</sst>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"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dasha lee" refreshedDate="46314.772197569444" createdVersion="8" refreshedVersion="8" minRefreshableVersion="3" recordCount="120" xr:uid="{AE4B17FD-BA07-4D1F-B9CB-5166954939C3}">
  <cacheSource type="worksheet">
    <worksheetSource name="SalesData"/>
  </cacheSource>
  <cacheFields count="11">
    <cacheField name="Order ID" numFmtId="0">
      <sharedItems containsSemiMixedTypes="0" containsString="0" containsNumber="1" containsInteger="1" minValue="1001" maxValue="1120"/>
    </cacheField>
    <cacheField name="Date" numFmtId="0">
      <sharedItems/>
    </cacheField>
    <cacheField name="Region" numFmtId="0">
      <sharedItems count="4">
        <s v="South"/>
        <s v="East"/>
        <s v="West"/>
        <s v="North"/>
      </sharedItems>
    </cacheField>
    <cacheField name="Product" numFmtId="0">
      <sharedItems count="8">
        <s v="Laptop"/>
        <s v="Monitor"/>
        <s v="Desk"/>
        <s v="Printer"/>
        <s v="Bookshelf"/>
        <s v="Chair"/>
        <s v="Phone"/>
        <s v="Tablet"/>
      </sharedItems>
    </cacheField>
    <cacheField name="Category" numFmtId="0">
      <sharedItems/>
    </cacheField>
    <cacheField name="Customer" numFmtId="0">
      <sharedItems count="20">
        <s v="Hernandez"/>
        <s v="Lopez"/>
        <s v="Wilson"/>
        <s v="Taylor"/>
        <s v="Anderson"/>
        <s v="Smith"/>
        <s v="Rodriguez"/>
        <s v="Davis"/>
        <s v="Thomas"/>
        <s v="Jones"/>
        <s v="Brown"/>
        <s v="Jackson"/>
        <s v="Garcia"/>
        <s v="Johnson"/>
        <s v="Williams"/>
        <s v="Miller"/>
        <s v="Martinez"/>
        <s v="Martin"/>
        <s v="Gonzalez"/>
        <s v="Moore"/>
      </sharedItems>
    </cacheField>
    <cacheField name="Units Sold" numFmtId="0">
      <sharedItems containsSemiMixedTypes="0" containsString="0" containsNumber="1" containsInteger="1" minValue="1" maxValue="8"/>
    </cacheField>
    <cacheField name="Unit Price" numFmtId="165">
      <sharedItems containsSemiMixedTypes="0" containsString="0" containsNumber="1" containsInteger="1" minValue="120" maxValue="900"/>
    </cacheField>
    <cacheField name="Total Sales" numFmtId="165">
      <sharedItems containsSemiMixedTypes="0" containsString="0" containsNumber="1" containsInteger="1" minValue="120" maxValue="7200"/>
    </cacheField>
    <cacheField name="Check Sales" numFmtId="165">
      <sharedItems containsSemiMixedTypes="0" containsString="0" containsNumber="1" containsInteger="1" minValue="120" maxValue="7200"/>
    </cacheField>
    <cacheField name="Matc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dasha lee" refreshedDate="46314.773844791664" backgroundQuery="1" createdVersion="8" refreshedVersion="8" minRefreshableVersion="3" recordCount="0" supportSubquery="1" supportAdvancedDrill="1" xr:uid="{78853491-D801-48BC-B23F-0FD1AD0AC20C}">
  <cacheSource type="external" connectionId="1"/>
  <cacheFields count="2">
    <cacheField name="[Measures].[Sum of Total Sales]" caption="Sum of Total Sales" numFmtId="0" hierarchy="13" level="32767"/>
    <cacheField name="[SalesData].[Region].[Region]" caption="Region" numFmtId="0" hierarchy="2" level="1">
      <sharedItems count="4">
        <s v="East"/>
        <s v="North"/>
        <s v="South"/>
        <s v="West"/>
      </sharedItems>
    </cacheField>
  </cacheFields>
  <cacheHierarchies count="14">
    <cacheHierarchy uniqueName="[SalesData].[Order ID]" caption="Order ID" attribute="1" defaultMemberUniqueName="[SalesData].[Order ID].[All]" allUniqueName="[SalesData].[Order ID].[All]" dimensionUniqueName="[SalesData]" displayFolder="" count="0" memberValueDatatype="20" unbalanced="0"/>
    <cacheHierarchy uniqueName="[SalesData].[Date]" caption="Date" attribute="1" defaultMemberUniqueName="[SalesData].[Date].[All]" allUniqueName="[SalesData].[Date].[All]" dimensionUniqueName="[SalesData]" displayFolder="" count="0" memberValueDatatype="130" unbalanced="0"/>
    <cacheHierarchy uniqueName="[SalesData].[Region]" caption="Region" attribute="1" defaultMemberUniqueName="[SalesData].[Region].[All]" allUniqueName="[SalesData].[Region].[All]" dimensionUniqueName="[SalesData]" displayFolder="" count="2" memberValueDatatype="130" unbalanced="0">
      <fieldsUsage count="2">
        <fieldUsage x="-1"/>
        <fieldUsage x="1"/>
      </fieldsUsage>
    </cacheHierarchy>
    <cacheHierarchy uniqueName="[SalesData].[Product]" caption="Product" attribute="1" defaultMemberUniqueName="[SalesData].[Product].[All]" allUniqueName="[SalesData].[Product].[All]" dimensionUniqueName="[SalesData]" displayFolder="" count="2" memberValueDatatype="130" unbalanced="0"/>
    <cacheHierarchy uniqueName="[SalesData].[Category]" caption="Category" attribute="1" defaultMemberUniqueName="[SalesData].[Category].[All]" allUniqueName="[SalesData].[Category].[All]" dimensionUniqueName="[SalesData]" displayFolder="" count="0" memberValueDatatype="130" unbalanced="0"/>
    <cacheHierarchy uniqueName="[SalesData].[Customer]" caption="Customer" attribute="1" defaultMemberUniqueName="[SalesData].[Customer].[All]" allUniqueName="[SalesData].[Customer].[All]" dimensionUniqueName="[SalesData]" displayFolder="" count="0" memberValueDatatype="130" unbalanced="0"/>
    <cacheHierarchy uniqueName="[SalesData].[Units Sold]" caption="Units Sold" attribute="1" defaultMemberUniqueName="[SalesData].[Units Sold].[All]" allUniqueName="[SalesData].[Units Sold].[All]" dimensionUniqueName="[SalesData]" displayFolder="" count="0" memberValueDatatype="20" unbalanced="0"/>
    <cacheHierarchy uniqueName="[SalesData].[Unit Price]" caption="Unit Price" attribute="1" defaultMemberUniqueName="[SalesData].[Unit Price].[All]" allUniqueName="[SalesData].[Unit Price].[All]" dimensionUniqueName="[SalesData]" displayFolder="" count="0" memberValueDatatype="20" unbalanced="0"/>
    <cacheHierarchy uniqueName="[SalesData].[Total Sales]" caption="Total Sales" attribute="1" defaultMemberUniqueName="[SalesData].[Total Sales].[All]" allUniqueName="[SalesData].[Total Sales].[All]" dimensionUniqueName="[SalesData]" displayFolder="" count="0" memberValueDatatype="20" unbalanced="0"/>
    <cacheHierarchy uniqueName="[SalesData].[Check Sales]" caption="Check Sales" attribute="1" defaultMemberUniqueName="[SalesData].[Check Sales].[All]" allUniqueName="[SalesData].[Check Sales].[All]" dimensionUniqueName="[SalesData]" displayFolder="" count="0" memberValueDatatype="20" unbalanced="0"/>
    <cacheHierarchy uniqueName="[SalesData].[Match]" caption="Match" attribute="1" defaultMemberUniqueName="[SalesData].[Match].[All]" allUniqueName="[SalesData].[Match].[All]" dimensionUniqueName="[SalesData]" displayFolder="" count="0" memberValueDatatype="11" unbalanced="0"/>
    <cacheHierarchy uniqueName="[Measures].[__XL_Count SalesData]" caption="__XL_Count SalesData" measure="1" displayFolder="" measureGroup="SalesData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Sales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SalesData" uniqueName="[SalesData]" caption="SalesData"/>
  </dimensions>
  <measureGroups count="1">
    <measureGroup name="SalesData" caption="Sales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001"/>
    <s v="2025-04-21"/>
    <x v="0"/>
    <x v="0"/>
    <s v="Technology"/>
    <x v="0"/>
    <n v="2"/>
    <n v="900"/>
    <n v="1800"/>
    <n v="1800"/>
    <b v="1"/>
  </r>
  <r>
    <n v="1002"/>
    <s v="2025-03-21"/>
    <x v="1"/>
    <x v="1"/>
    <s v="Technology"/>
    <x v="1"/>
    <n v="8"/>
    <n v="300"/>
    <n v="2400"/>
    <n v="2400"/>
    <b v="1"/>
  </r>
  <r>
    <n v="1003"/>
    <s v="2025-01-18"/>
    <x v="1"/>
    <x v="2"/>
    <s v="Furniture"/>
    <x v="2"/>
    <n v="6"/>
    <n v="350"/>
    <n v="2100"/>
    <n v="2100"/>
    <b v="1"/>
  </r>
  <r>
    <n v="1004"/>
    <s v="2025-04-28"/>
    <x v="0"/>
    <x v="2"/>
    <s v="Furniture"/>
    <x v="3"/>
    <n v="2"/>
    <n v="350"/>
    <n v="700"/>
    <n v="700"/>
    <b v="1"/>
  </r>
  <r>
    <n v="1005"/>
    <s v="2025-03-19"/>
    <x v="2"/>
    <x v="3"/>
    <s v="Technology"/>
    <x v="4"/>
    <n v="5"/>
    <n v="250"/>
    <n v="1250"/>
    <n v="1250"/>
    <b v="1"/>
  </r>
  <r>
    <n v="1006"/>
    <s v="2025-04-19"/>
    <x v="3"/>
    <x v="4"/>
    <s v="Furniture"/>
    <x v="2"/>
    <n v="1"/>
    <n v="200"/>
    <n v="200"/>
    <n v="200"/>
    <b v="1"/>
  </r>
  <r>
    <n v="1007"/>
    <s v="2025-02-03"/>
    <x v="1"/>
    <x v="4"/>
    <s v="Furniture"/>
    <x v="5"/>
    <n v="7"/>
    <n v="200"/>
    <n v="1400"/>
    <n v="1400"/>
    <b v="1"/>
  </r>
  <r>
    <n v="1008"/>
    <s v="2025-04-02"/>
    <x v="0"/>
    <x v="4"/>
    <s v="Furniture"/>
    <x v="3"/>
    <n v="5"/>
    <n v="200"/>
    <n v="1000"/>
    <n v="1000"/>
    <b v="1"/>
  </r>
  <r>
    <n v="1009"/>
    <s v="2025-02-10"/>
    <x v="2"/>
    <x v="5"/>
    <s v="Furniture"/>
    <x v="4"/>
    <n v="5"/>
    <n v="120"/>
    <n v="600"/>
    <n v="600"/>
    <b v="1"/>
  </r>
  <r>
    <n v="1010"/>
    <s v="2025-02-25"/>
    <x v="2"/>
    <x v="1"/>
    <s v="Technology"/>
    <x v="1"/>
    <n v="7"/>
    <n v="300"/>
    <n v="2100"/>
    <n v="2100"/>
    <b v="1"/>
  </r>
  <r>
    <n v="1011"/>
    <s v="2025-03-17"/>
    <x v="0"/>
    <x v="0"/>
    <s v="Technology"/>
    <x v="6"/>
    <n v="1"/>
    <n v="900"/>
    <n v="900"/>
    <n v="900"/>
    <b v="1"/>
  </r>
  <r>
    <n v="1012"/>
    <s v="2025-03-30"/>
    <x v="0"/>
    <x v="0"/>
    <s v="Technology"/>
    <x v="7"/>
    <n v="7"/>
    <n v="900"/>
    <n v="6300"/>
    <n v="6300"/>
    <b v="1"/>
  </r>
  <r>
    <n v="1013"/>
    <s v="2025-04-08"/>
    <x v="1"/>
    <x v="0"/>
    <s v="Technology"/>
    <x v="8"/>
    <n v="7"/>
    <n v="900"/>
    <n v="6300"/>
    <n v="6300"/>
    <b v="1"/>
  </r>
  <r>
    <n v="1014"/>
    <s v="2025-03-22"/>
    <x v="3"/>
    <x v="4"/>
    <s v="Furniture"/>
    <x v="9"/>
    <n v="6"/>
    <n v="200"/>
    <n v="1200"/>
    <n v="1200"/>
    <b v="1"/>
  </r>
  <r>
    <n v="1015"/>
    <s v="2025-03-25"/>
    <x v="0"/>
    <x v="1"/>
    <s v="Technology"/>
    <x v="3"/>
    <n v="7"/>
    <n v="300"/>
    <n v="2100"/>
    <n v="2100"/>
    <b v="1"/>
  </r>
  <r>
    <n v="1016"/>
    <s v="2025-03-19"/>
    <x v="3"/>
    <x v="0"/>
    <s v="Technology"/>
    <x v="10"/>
    <n v="5"/>
    <n v="900"/>
    <n v="4500"/>
    <n v="4500"/>
    <b v="1"/>
  </r>
  <r>
    <n v="1017"/>
    <s v="2025-03-24"/>
    <x v="2"/>
    <x v="6"/>
    <s v="Technology"/>
    <x v="11"/>
    <n v="2"/>
    <n v="600"/>
    <n v="1200"/>
    <n v="1200"/>
    <b v="1"/>
  </r>
  <r>
    <n v="1018"/>
    <s v="2025-03-15"/>
    <x v="2"/>
    <x v="6"/>
    <s v="Technology"/>
    <x v="3"/>
    <n v="4"/>
    <n v="600"/>
    <n v="2400"/>
    <n v="2400"/>
    <b v="1"/>
  </r>
  <r>
    <n v="1019"/>
    <s v="2025-04-27"/>
    <x v="3"/>
    <x v="1"/>
    <s v="Technology"/>
    <x v="3"/>
    <n v="3"/>
    <n v="300"/>
    <n v="900"/>
    <n v="900"/>
    <b v="1"/>
  </r>
  <r>
    <n v="1020"/>
    <s v="2025-03-22"/>
    <x v="1"/>
    <x v="6"/>
    <s v="Technology"/>
    <x v="6"/>
    <n v="2"/>
    <n v="600"/>
    <n v="1200"/>
    <n v="1200"/>
    <b v="1"/>
  </r>
  <r>
    <n v="1021"/>
    <s v="2025-01-07"/>
    <x v="2"/>
    <x v="5"/>
    <s v="Furniture"/>
    <x v="12"/>
    <n v="3"/>
    <n v="120"/>
    <n v="360"/>
    <n v="360"/>
    <b v="1"/>
  </r>
  <r>
    <n v="1022"/>
    <s v="2025-02-06"/>
    <x v="1"/>
    <x v="4"/>
    <s v="Furniture"/>
    <x v="1"/>
    <n v="7"/>
    <n v="200"/>
    <n v="1400"/>
    <n v="1400"/>
    <b v="1"/>
  </r>
  <r>
    <n v="1023"/>
    <s v="2025-04-04"/>
    <x v="0"/>
    <x v="2"/>
    <s v="Furniture"/>
    <x v="5"/>
    <n v="8"/>
    <n v="350"/>
    <n v="2800"/>
    <n v="2800"/>
    <b v="1"/>
  </r>
  <r>
    <n v="1024"/>
    <s v="2025-04-04"/>
    <x v="1"/>
    <x v="3"/>
    <s v="Technology"/>
    <x v="13"/>
    <n v="4"/>
    <n v="250"/>
    <n v="1000"/>
    <n v="1000"/>
    <b v="1"/>
  </r>
  <r>
    <n v="1025"/>
    <s v="2025-03-25"/>
    <x v="2"/>
    <x v="6"/>
    <s v="Technology"/>
    <x v="13"/>
    <n v="7"/>
    <n v="600"/>
    <n v="4200"/>
    <n v="4200"/>
    <b v="1"/>
  </r>
  <r>
    <n v="1026"/>
    <s v="2025-02-05"/>
    <x v="2"/>
    <x v="4"/>
    <s v="Furniture"/>
    <x v="7"/>
    <n v="3"/>
    <n v="200"/>
    <n v="600"/>
    <n v="600"/>
    <b v="1"/>
  </r>
  <r>
    <n v="1027"/>
    <s v="2025-03-16"/>
    <x v="1"/>
    <x v="7"/>
    <s v="Technology"/>
    <x v="13"/>
    <n v="7"/>
    <n v="400"/>
    <n v="2800"/>
    <n v="2800"/>
    <b v="1"/>
  </r>
  <r>
    <n v="1028"/>
    <s v="2025-04-01"/>
    <x v="3"/>
    <x v="5"/>
    <s v="Furniture"/>
    <x v="7"/>
    <n v="2"/>
    <n v="120"/>
    <n v="240"/>
    <n v="240"/>
    <b v="1"/>
  </r>
  <r>
    <n v="1029"/>
    <s v="2025-01-08"/>
    <x v="0"/>
    <x v="7"/>
    <s v="Technology"/>
    <x v="8"/>
    <n v="7"/>
    <n v="400"/>
    <n v="2800"/>
    <n v="2800"/>
    <b v="1"/>
  </r>
  <r>
    <n v="1030"/>
    <s v="2025-03-03"/>
    <x v="3"/>
    <x v="3"/>
    <s v="Technology"/>
    <x v="5"/>
    <n v="8"/>
    <n v="250"/>
    <n v="2000"/>
    <n v="2000"/>
    <b v="1"/>
  </r>
  <r>
    <n v="1031"/>
    <s v="2025-01-27"/>
    <x v="1"/>
    <x v="1"/>
    <s v="Technology"/>
    <x v="14"/>
    <n v="3"/>
    <n v="300"/>
    <n v="900"/>
    <n v="900"/>
    <b v="1"/>
  </r>
  <r>
    <n v="1032"/>
    <s v="2025-03-06"/>
    <x v="2"/>
    <x v="4"/>
    <s v="Furniture"/>
    <x v="12"/>
    <n v="6"/>
    <n v="200"/>
    <n v="1200"/>
    <n v="1200"/>
    <b v="1"/>
  </r>
  <r>
    <n v="1033"/>
    <s v="2025-01-19"/>
    <x v="2"/>
    <x v="4"/>
    <s v="Furniture"/>
    <x v="15"/>
    <n v="2"/>
    <n v="200"/>
    <n v="400"/>
    <n v="400"/>
    <b v="1"/>
  </r>
  <r>
    <n v="1034"/>
    <s v="2025-03-14"/>
    <x v="2"/>
    <x v="0"/>
    <s v="Technology"/>
    <x v="3"/>
    <n v="6"/>
    <n v="900"/>
    <n v="5400"/>
    <n v="5400"/>
    <b v="1"/>
  </r>
  <r>
    <n v="1035"/>
    <s v="2025-01-13"/>
    <x v="0"/>
    <x v="0"/>
    <s v="Technology"/>
    <x v="8"/>
    <n v="6"/>
    <n v="900"/>
    <n v="5400"/>
    <n v="5400"/>
    <b v="1"/>
  </r>
  <r>
    <n v="1036"/>
    <s v="2025-02-01"/>
    <x v="1"/>
    <x v="3"/>
    <s v="Technology"/>
    <x v="13"/>
    <n v="8"/>
    <n v="250"/>
    <n v="2000"/>
    <n v="2000"/>
    <b v="1"/>
  </r>
  <r>
    <n v="1037"/>
    <s v="2025-04-17"/>
    <x v="3"/>
    <x v="3"/>
    <s v="Technology"/>
    <x v="5"/>
    <n v="3"/>
    <n v="250"/>
    <n v="750"/>
    <n v="750"/>
    <b v="1"/>
  </r>
  <r>
    <n v="1038"/>
    <s v="2025-03-15"/>
    <x v="0"/>
    <x v="1"/>
    <s v="Technology"/>
    <x v="16"/>
    <n v="2"/>
    <n v="300"/>
    <n v="600"/>
    <n v="600"/>
    <b v="1"/>
  </r>
  <r>
    <n v="1039"/>
    <s v="2025-03-14"/>
    <x v="1"/>
    <x v="2"/>
    <s v="Furniture"/>
    <x v="15"/>
    <n v="8"/>
    <n v="350"/>
    <n v="2800"/>
    <n v="2800"/>
    <b v="1"/>
  </r>
  <r>
    <n v="1040"/>
    <s v="2025-01-24"/>
    <x v="2"/>
    <x v="3"/>
    <s v="Technology"/>
    <x v="5"/>
    <n v="2"/>
    <n v="250"/>
    <n v="500"/>
    <n v="500"/>
    <b v="1"/>
  </r>
  <r>
    <n v="1041"/>
    <s v="2025-01-21"/>
    <x v="2"/>
    <x v="6"/>
    <s v="Technology"/>
    <x v="17"/>
    <n v="7"/>
    <n v="600"/>
    <n v="4200"/>
    <n v="4200"/>
    <b v="1"/>
  </r>
  <r>
    <n v="1042"/>
    <s v="2025-03-19"/>
    <x v="0"/>
    <x v="3"/>
    <s v="Technology"/>
    <x v="3"/>
    <n v="5"/>
    <n v="250"/>
    <n v="1250"/>
    <n v="1250"/>
    <b v="1"/>
  </r>
  <r>
    <n v="1043"/>
    <s v="2025-03-30"/>
    <x v="0"/>
    <x v="3"/>
    <s v="Technology"/>
    <x v="16"/>
    <n v="3"/>
    <n v="250"/>
    <n v="750"/>
    <n v="750"/>
    <b v="1"/>
  </r>
  <r>
    <n v="1044"/>
    <s v="2025-02-26"/>
    <x v="3"/>
    <x v="7"/>
    <s v="Technology"/>
    <x v="1"/>
    <n v="2"/>
    <n v="400"/>
    <n v="800"/>
    <n v="800"/>
    <b v="1"/>
  </r>
  <r>
    <n v="1045"/>
    <s v="2025-01-13"/>
    <x v="3"/>
    <x v="0"/>
    <s v="Technology"/>
    <x v="8"/>
    <n v="1"/>
    <n v="900"/>
    <n v="900"/>
    <n v="900"/>
    <b v="1"/>
  </r>
  <r>
    <n v="1046"/>
    <s v="2025-01-30"/>
    <x v="1"/>
    <x v="0"/>
    <s v="Technology"/>
    <x v="18"/>
    <n v="6"/>
    <n v="900"/>
    <n v="5400"/>
    <n v="5400"/>
    <b v="1"/>
  </r>
  <r>
    <n v="1047"/>
    <s v="2025-02-19"/>
    <x v="2"/>
    <x v="2"/>
    <s v="Furniture"/>
    <x v="10"/>
    <n v="7"/>
    <n v="350"/>
    <n v="2450"/>
    <n v="2450"/>
    <b v="1"/>
  </r>
  <r>
    <n v="1048"/>
    <s v="2025-04-02"/>
    <x v="2"/>
    <x v="4"/>
    <s v="Furniture"/>
    <x v="5"/>
    <n v="3"/>
    <n v="200"/>
    <n v="600"/>
    <n v="600"/>
    <b v="1"/>
  </r>
  <r>
    <n v="1049"/>
    <s v="2025-01-26"/>
    <x v="3"/>
    <x v="1"/>
    <s v="Technology"/>
    <x v="18"/>
    <n v="1"/>
    <n v="300"/>
    <n v="300"/>
    <n v="300"/>
    <b v="1"/>
  </r>
  <r>
    <n v="1050"/>
    <s v="2025-02-13"/>
    <x v="0"/>
    <x v="1"/>
    <s v="Technology"/>
    <x v="19"/>
    <n v="8"/>
    <n v="300"/>
    <n v="2400"/>
    <n v="2400"/>
    <b v="1"/>
  </r>
  <r>
    <n v="1051"/>
    <s v="2025-03-30"/>
    <x v="2"/>
    <x v="6"/>
    <s v="Technology"/>
    <x v="18"/>
    <n v="6"/>
    <n v="600"/>
    <n v="3600"/>
    <n v="3600"/>
    <b v="1"/>
  </r>
  <r>
    <n v="1052"/>
    <s v="2025-02-06"/>
    <x v="3"/>
    <x v="6"/>
    <s v="Technology"/>
    <x v="15"/>
    <n v="8"/>
    <n v="600"/>
    <n v="4800"/>
    <n v="4800"/>
    <b v="1"/>
  </r>
  <r>
    <n v="1053"/>
    <s v="2025-03-13"/>
    <x v="0"/>
    <x v="5"/>
    <s v="Furniture"/>
    <x v="13"/>
    <n v="2"/>
    <n v="120"/>
    <n v="240"/>
    <n v="240"/>
    <b v="1"/>
  </r>
  <r>
    <n v="1054"/>
    <s v="2025-01-19"/>
    <x v="3"/>
    <x v="0"/>
    <s v="Technology"/>
    <x v="7"/>
    <n v="2"/>
    <n v="900"/>
    <n v="1800"/>
    <n v="1800"/>
    <b v="1"/>
  </r>
  <r>
    <n v="1055"/>
    <s v="2025-01-29"/>
    <x v="2"/>
    <x v="1"/>
    <s v="Technology"/>
    <x v="11"/>
    <n v="6"/>
    <n v="300"/>
    <n v="1800"/>
    <n v="1800"/>
    <b v="1"/>
  </r>
  <r>
    <n v="1056"/>
    <s v="2025-01-04"/>
    <x v="0"/>
    <x v="5"/>
    <s v="Furniture"/>
    <x v="6"/>
    <n v="6"/>
    <n v="120"/>
    <n v="720"/>
    <n v="720"/>
    <b v="1"/>
  </r>
  <r>
    <n v="1057"/>
    <s v="2025-01-26"/>
    <x v="1"/>
    <x v="6"/>
    <s v="Technology"/>
    <x v="2"/>
    <n v="7"/>
    <n v="600"/>
    <n v="4200"/>
    <n v="4200"/>
    <b v="1"/>
  </r>
  <r>
    <n v="1058"/>
    <s v="2025-04-25"/>
    <x v="3"/>
    <x v="7"/>
    <s v="Technology"/>
    <x v="15"/>
    <n v="7"/>
    <n v="400"/>
    <n v="2800"/>
    <n v="2800"/>
    <b v="1"/>
  </r>
  <r>
    <n v="1059"/>
    <s v="2025-04-23"/>
    <x v="0"/>
    <x v="2"/>
    <s v="Furniture"/>
    <x v="2"/>
    <n v="3"/>
    <n v="350"/>
    <n v="1050"/>
    <n v="1050"/>
    <b v="1"/>
  </r>
  <r>
    <n v="1060"/>
    <s v="2025-03-08"/>
    <x v="2"/>
    <x v="6"/>
    <s v="Technology"/>
    <x v="13"/>
    <n v="4"/>
    <n v="600"/>
    <n v="2400"/>
    <n v="2400"/>
    <b v="1"/>
  </r>
  <r>
    <n v="1061"/>
    <s v="2025-01-08"/>
    <x v="0"/>
    <x v="5"/>
    <s v="Furniture"/>
    <x v="5"/>
    <n v="8"/>
    <n v="120"/>
    <n v="960"/>
    <n v="960"/>
    <b v="1"/>
  </r>
  <r>
    <n v="1062"/>
    <s v="2025-04-16"/>
    <x v="2"/>
    <x v="1"/>
    <s v="Technology"/>
    <x v="18"/>
    <n v="2"/>
    <n v="300"/>
    <n v="600"/>
    <n v="600"/>
    <b v="1"/>
  </r>
  <r>
    <n v="1063"/>
    <s v="2025-03-21"/>
    <x v="0"/>
    <x v="2"/>
    <s v="Furniture"/>
    <x v="6"/>
    <n v="3"/>
    <n v="350"/>
    <n v="1050"/>
    <n v="1050"/>
    <b v="1"/>
  </r>
  <r>
    <n v="1064"/>
    <s v="2025-04-07"/>
    <x v="0"/>
    <x v="3"/>
    <s v="Technology"/>
    <x v="16"/>
    <n v="2"/>
    <n v="250"/>
    <n v="500"/>
    <n v="500"/>
    <b v="1"/>
  </r>
  <r>
    <n v="1065"/>
    <s v="2025-01-14"/>
    <x v="0"/>
    <x v="7"/>
    <s v="Technology"/>
    <x v="16"/>
    <n v="8"/>
    <n v="400"/>
    <n v="3200"/>
    <n v="3200"/>
    <b v="1"/>
  </r>
  <r>
    <n v="1066"/>
    <s v="2025-01-02"/>
    <x v="2"/>
    <x v="1"/>
    <s v="Technology"/>
    <x v="0"/>
    <n v="4"/>
    <n v="300"/>
    <n v="1200"/>
    <n v="1200"/>
    <b v="1"/>
  </r>
  <r>
    <n v="1067"/>
    <s v="2025-03-04"/>
    <x v="3"/>
    <x v="7"/>
    <s v="Technology"/>
    <x v="0"/>
    <n v="8"/>
    <n v="400"/>
    <n v="3200"/>
    <n v="3200"/>
    <b v="1"/>
  </r>
  <r>
    <n v="1068"/>
    <s v="2025-04-14"/>
    <x v="3"/>
    <x v="7"/>
    <s v="Technology"/>
    <x v="0"/>
    <n v="4"/>
    <n v="400"/>
    <n v="1600"/>
    <n v="1600"/>
    <b v="1"/>
  </r>
  <r>
    <n v="1069"/>
    <s v="2025-03-15"/>
    <x v="3"/>
    <x v="1"/>
    <s v="Technology"/>
    <x v="17"/>
    <n v="1"/>
    <n v="300"/>
    <n v="300"/>
    <n v="300"/>
    <b v="1"/>
  </r>
  <r>
    <n v="1070"/>
    <s v="2025-03-30"/>
    <x v="2"/>
    <x v="3"/>
    <s v="Technology"/>
    <x v="1"/>
    <n v="1"/>
    <n v="250"/>
    <n v="250"/>
    <n v="250"/>
    <b v="1"/>
  </r>
  <r>
    <n v="1071"/>
    <s v="2025-02-09"/>
    <x v="0"/>
    <x v="1"/>
    <s v="Technology"/>
    <x v="16"/>
    <n v="3"/>
    <n v="300"/>
    <n v="900"/>
    <n v="900"/>
    <b v="1"/>
  </r>
  <r>
    <n v="1072"/>
    <s v="2025-04-27"/>
    <x v="3"/>
    <x v="5"/>
    <s v="Furniture"/>
    <x v="0"/>
    <n v="2"/>
    <n v="120"/>
    <n v="240"/>
    <n v="240"/>
    <b v="1"/>
  </r>
  <r>
    <n v="1073"/>
    <s v="2025-02-02"/>
    <x v="1"/>
    <x v="6"/>
    <s v="Technology"/>
    <x v="16"/>
    <n v="4"/>
    <n v="600"/>
    <n v="2400"/>
    <n v="2400"/>
    <b v="1"/>
  </r>
  <r>
    <n v="1074"/>
    <s v="2025-03-09"/>
    <x v="0"/>
    <x v="4"/>
    <s v="Furniture"/>
    <x v="11"/>
    <n v="8"/>
    <n v="200"/>
    <n v="1600"/>
    <n v="1600"/>
    <b v="1"/>
  </r>
  <r>
    <n v="1075"/>
    <s v="2025-01-08"/>
    <x v="0"/>
    <x v="3"/>
    <s v="Technology"/>
    <x v="15"/>
    <n v="5"/>
    <n v="250"/>
    <n v="1250"/>
    <n v="1250"/>
    <b v="1"/>
  </r>
  <r>
    <n v="1076"/>
    <s v="2025-02-22"/>
    <x v="0"/>
    <x v="0"/>
    <s v="Technology"/>
    <x v="5"/>
    <n v="3"/>
    <n v="900"/>
    <n v="2700"/>
    <n v="2700"/>
    <b v="1"/>
  </r>
  <r>
    <n v="1077"/>
    <s v="2025-03-10"/>
    <x v="3"/>
    <x v="5"/>
    <s v="Furniture"/>
    <x v="13"/>
    <n v="8"/>
    <n v="120"/>
    <n v="960"/>
    <n v="960"/>
    <b v="1"/>
  </r>
  <r>
    <n v="1078"/>
    <s v="2025-02-15"/>
    <x v="3"/>
    <x v="2"/>
    <s v="Furniture"/>
    <x v="1"/>
    <n v="8"/>
    <n v="350"/>
    <n v="2800"/>
    <n v="2800"/>
    <b v="1"/>
  </r>
  <r>
    <n v="1079"/>
    <s v="2025-01-16"/>
    <x v="3"/>
    <x v="2"/>
    <s v="Furniture"/>
    <x v="16"/>
    <n v="3"/>
    <n v="350"/>
    <n v="1050"/>
    <n v="1050"/>
    <b v="1"/>
  </r>
  <r>
    <n v="1080"/>
    <s v="2025-02-24"/>
    <x v="2"/>
    <x v="0"/>
    <s v="Technology"/>
    <x v="3"/>
    <n v="2"/>
    <n v="900"/>
    <n v="1800"/>
    <n v="1800"/>
    <b v="1"/>
  </r>
  <r>
    <n v="1081"/>
    <s v="2025-01-16"/>
    <x v="3"/>
    <x v="5"/>
    <s v="Furniture"/>
    <x v="12"/>
    <n v="6"/>
    <n v="120"/>
    <n v="720"/>
    <n v="720"/>
    <b v="1"/>
  </r>
  <r>
    <n v="1082"/>
    <s v="2025-03-07"/>
    <x v="2"/>
    <x v="7"/>
    <s v="Technology"/>
    <x v="15"/>
    <n v="8"/>
    <n v="400"/>
    <n v="3200"/>
    <n v="3200"/>
    <b v="1"/>
  </r>
  <r>
    <n v="1083"/>
    <s v="2025-03-18"/>
    <x v="2"/>
    <x v="1"/>
    <s v="Technology"/>
    <x v="16"/>
    <n v="4"/>
    <n v="300"/>
    <n v="1200"/>
    <n v="1200"/>
    <b v="1"/>
  </r>
  <r>
    <n v="1084"/>
    <s v="2025-02-04"/>
    <x v="3"/>
    <x v="3"/>
    <s v="Technology"/>
    <x v="10"/>
    <n v="4"/>
    <n v="250"/>
    <n v="1000"/>
    <n v="1000"/>
    <b v="1"/>
  </r>
  <r>
    <n v="1085"/>
    <s v="2025-01-11"/>
    <x v="3"/>
    <x v="4"/>
    <s v="Furniture"/>
    <x v="11"/>
    <n v="6"/>
    <n v="200"/>
    <n v="1200"/>
    <n v="1200"/>
    <b v="1"/>
  </r>
  <r>
    <n v="1086"/>
    <s v="2025-03-14"/>
    <x v="0"/>
    <x v="7"/>
    <s v="Technology"/>
    <x v="2"/>
    <n v="3"/>
    <n v="400"/>
    <n v="1200"/>
    <n v="1200"/>
    <b v="1"/>
  </r>
  <r>
    <n v="1087"/>
    <s v="2025-04-26"/>
    <x v="1"/>
    <x v="2"/>
    <s v="Furniture"/>
    <x v="12"/>
    <n v="3"/>
    <n v="350"/>
    <n v="1050"/>
    <n v="1050"/>
    <b v="1"/>
  </r>
  <r>
    <n v="1088"/>
    <s v="2025-02-02"/>
    <x v="2"/>
    <x v="2"/>
    <s v="Furniture"/>
    <x v="18"/>
    <n v="8"/>
    <n v="350"/>
    <n v="2800"/>
    <n v="2800"/>
    <b v="1"/>
  </r>
  <r>
    <n v="1089"/>
    <s v="2025-02-02"/>
    <x v="0"/>
    <x v="5"/>
    <s v="Furniture"/>
    <x v="8"/>
    <n v="1"/>
    <n v="120"/>
    <n v="120"/>
    <n v="120"/>
    <b v="1"/>
  </r>
  <r>
    <n v="1090"/>
    <s v="2025-02-28"/>
    <x v="1"/>
    <x v="5"/>
    <s v="Furniture"/>
    <x v="15"/>
    <n v="1"/>
    <n v="120"/>
    <n v="120"/>
    <n v="120"/>
    <b v="1"/>
  </r>
  <r>
    <n v="1091"/>
    <s v="2025-01-03"/>
    <x v="1"/>
    <x v="3"/>
    <s v="Technology"/>
    <x v="1"/>
    <n v="1"/>
    <n v="250"/>
    <n v="250"/>
    <n v="250"/>
    <b v="1"/>
  </r>
  <r>
    <n v="1092"/>
    <s v="2025-01-19"/>
    <x v="2"/>
    <x v="6"/>
    <s v="Technology"/>
    <x v="10"/>
    <n v="5"/>
    <n v="600"/>
    <n v="3000"/>
    <n v="3000"/>
    <b v="1"/>
  </r>
  <r>
    <n v="1093"/>
    <s v="2025-01-28"/>
    <x v="0"/>
    <x v="4"/>
    <s v="Furniture"/>
    <x v="4"/>
    <n v="8"/>
    <n v="200"/>
    <n v="1600"/>
    <n v="1600"/>
    <b v="1"/>
  </r>
  <r>
    <n v="1094"/>
    <s v="2025-04-22"/>
    <x v="0"/>
    <x v="0"/>
    <s v="Technology"/>
    <x v="15"/>
    <n v="3"/>
    <n v="900"/>
    <n v="2700"/>
    <n v="2700"/>
    <b v="1"/>
  </r>
  <r>
    <n v="1095"/>
    <s v="2025-03-04"/>
    <x v="3"/>
    <x v="2"/>
    <s v="Furniture"/>
    <x v="9"/>
    <n v="7"/>
    <n v="350"/>
    <n v="2450"/>
    <n v="2450"/>
    <b v="1"/>
  </r>
  <r>
    <n v="1096"/>
    <s v="2025-01-28"/>
    <x v="0"/>
    <x v="4"/>
    <s v="Furniture"/>
    <x v="9"/>
    <n v="3"/>
    <n v="200"/>
    <n v="600"/>
    <n v="600"/>
    <b v="1"/>
  </r>
  <r>
    <n v="1097"/>
    <s v="2025-03-08"/>
    <x v="3"/>
    <x v="5"/>
    <s v="Furniture"/>
    <x v="14"/>
    <n v="4"/>
    <n v="120"/>
    <n v="480"/>
    <n v="480"/>
    <b v="1"/>
  </r>
  <r>
    <n v="1098"/>
    <s v="2025-03-27"/>
    <x v="0"/>
    <x v="0"/>
    <s v="Technology"/>
    <x v="17"/>
    <n v="3"/>
    <n v="900"/>
    <n v="2700"/>
    <n v="2700"/>
    <b v="1"/>
  </r>
  <r>
    <n v="1099"/>
    <s v="2025-01-09"/>
    <x v="2"/>
    <x v="0"/>
    <s v="Technology"/>
    <x v="15"/>
    <n v="2"/>
    <n v="900"/>
    <n v="1800"/>
    <n v="1800"/>
    <b v="1"/>
  </r>
  <r>
    <n v="1100"/>
    <s v="2025-04-04"/>
    <x v="0"/>
    <x v="5"/>
    <s v="Furniture"/>
    <x v="7"/>
    <n v="8"/>
    <n v="120"/>
    <n v="960"/>
    <n v="960"/>
    <b v="1"/>
  </r>
  <r>
    <n v="1101"/>
    <s v="2025-01-13"/>
    <x v="1"/>
    <x v="4"/>
    <s v="Furniture"/>
    <x v="18"/>
    <n v="5"/>
    <n v="200"/>
    <n v="1000"/>
    <n v="1000"/>
    <b v="1"/>
  </r>
  <r>
    <n v="1102"/>
    <s v="2025-03-21"/>
    <x v="3"/>
    <x v="4"/>
    <s v="Furniture"/>
    <x v="5"/>
    <n v="3"/>
    <n v="200"/>
    <n v="600"/>
    <n v="600"/>
    <b v="1"/>
  </r>
  <r>
    <n v="1103"/>
    <s v="2025-01-18"/>
    <x v="3"/>
    <x v="1"/>
    <s v="Technology"/>
    <x v="2"/>
    <n v="8"/>
    <n v="300"/>
    <n v="2400"/>
    <n v="2400"/>
    <b v="1"/>
  </r>
  <r>
    <n v="1104"/>
    <s v="2025-01-16"/>
    <x v="1"/>
    <x v="0"/>
    <s v="Technology"/>
    <x v="7"/>
    <n v="8"/>
    <n v="900"/>
    <n v="7200"/>
    <n v="7200"/>
    <b v="1"/>
  </r>
  <r>
    <n v="1105"/>
    <s v="2025-02-25"/>
    <x v="3"/>
    <x v="1"/>
    <s v="Technology"/>
    <x v="13"/>
    <n v="4"/>
    <n v="300"/>
    <n v="1200"/>
    <n v="1200"/>
    <b v="1"/>
  </r>
  <r>
    <n v="1106"/>
    <s v="2025-01-04"/>
    <x v="3"/>
    <x v="0"/>
    <s v="Technology"/>
    <x v="11"/>
    <n v="4"/>
    <n v="900"/>
    <n v="3600"/>
    <n v="3600"/>
    <b v="1"/>
  </r>
  <r>
    <n v="1107"/>
    <s v="2025-01-24"/>
    <x v="0"/>
    <x v="3"/>
    <s v="Technology"/>
    <x v="8"/>
    <n v="4"/>
    <n v="250"/>
    <n v="1000"/>
    <n v="1000"/>
    <b v="1"/>
  </r>
  <r>
    <n v="1108"/>
    <s v="2025-03-28"/>
    <x v="2"/>
    <x v="6"/>
    <s v="Technology"/>
    <x v="3"/>
    <n v="8"/>
    <n v="600"/>
    <n v="4800"/>
    <n v="4800"/>
    <b v="1"/>
  </r>
  <r>
    <n v="1109"/>
    <s v="2025-01-06"/>
    <x v="3"/>
    <x v="2"/>
    <s v="Furniture"/>
    <x v="1"/>
    <n v="7"/>
    <n v="350"/>
    <n v="2450"/>
    <n v="2450"/>
    <b v="1"/>
  </r>
  <r>
    <n v="1110"/>
    <s v="2025-02-26"/>
    <x v="0"/>
    <x v="4"/>
    <s v="Furniture"/>
    <x v="9"/>
    <n v="5"/>
    <n v="200"/>
    <n v="1000"/>
    <n v="1000"/>
    <b v="1"/>
  </r>
  <r>
    <n v="1111"/>
    <s v="2025-02-27"/>
    <x v="2"/>
    <x v="1"/>
    <s v="Technology"/>
    <x v="11"/>
    <n v="7"/>
    <n v="300"/>
    <n v="2100"/>
    <n v="2100"/>
    <b v="1"/>
  </r>
  <r>
    <n v="1112"/>
    <s v="2025-02-08"/>
    <x v="3"/>
    <x v="3"/>
    <s v="Technology"/>
    <x v="17"/>
    <n v="8"/>
    <n v="250"/>
    <n v="2000"/>
    <n v="2000"/>
    <b v="1"/>
  </r>
  <r>
    <n v="1113"/>
    <s v="2025-01-13"/>
    <x v="3"/>
    <x v="6"/>
    <s v="Technology"/>
    <x v="18"/>
    <n v="8"/>
    <n v="600"/>
    <n v="4800"/>
    <n v="4800"/>
    <b v="1"/>
  </r>
  <r>
    <n v="1114"/>
    <s v="2025-03-08"/>
    <x v="2"/>
    <x v="1"/>
    <s v="Technology"/>
    <x v="7"/>
    <n v="2"/>
    <n v="300"/>
    <n v="600"/>
    <n v="600"/>
    <b v="1"/>
  </r>
  <r>
    <n v="1115"/>
    <s v="2025-04-26"/>
    <x v="1"/>
    <x v="5"/>
    <s v="Furniture"/>
    <x v="19"/>
    <n v="2"/>
    <n v="120"/>
    <n v="240"/>
    <n v="240"/>
    <b v="1"/>
  </r>
  <r>
    <n v="1116"/>
    <s v="2025-04-19"/>
    <x v="1"/>
    <x v="3"/>
    <s v="Technology"/>
    <x v="12"/>
    <n v="8"/>
    <n v="250"/>
    <n v="2000"/>
    <n v="2000"/>
    <b v="1"/>
  </r>
  <r>
    <n v="1117"/>
    <s v="2025-01-04"/>
    <x v="1"/>
    <x v="2"/>
    <s v="Furniture"/>
    <x v="8"/>
    <n v="4"/>
    <n v="350"/>
    <n v="1400"/>
    <n v="1400"/>
    <b v="1"/>
  </r>
  <r>
    <n v="1118"/>
    <s v="2025-04-04"/>
    <x v="2"/>
    <x v="3"/>
    <s v="Technology"/>
    <x v="12"/>
    <n v="4"/>
    <n v="250"/>
    <n v="1000"/>
    <n v="1000"/>
    <b v="1"/>
  </r>
  <r>
    <n v="1119"/>
    <s v="2025-02-01"/>
    <x v="3"/>
    <x v="2"/>
    <s v="Furniture"/>
    <x v="16"/>
    <n v="7"/>
    <n v="350"/>
    <n v="2450"/>
    <n v="2450"/>
    <b v="1"/>
  </r>
  <r>
    <n v="1120"/>
    <s v="2025-03-13"/>
    <x v="0"/>
    <x v="2"/>
    <s v="Furniture"/>
    <x v="7"/>
    <n v="1"/>
    <n v="350"/>
    <n v="350"/>
    <n v="350"/>
    <b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A6BC9-F382-4FBA-9C3D-1A0EFADDE75E}" name="PivotTable8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dataField="1" subtotalTop="0" showAll="0" defaultSubtotal="0"/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0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igital_storytelling_sales_dataset.xlsx!SalesData">
        <x15:activeTabTopLevelEntity name="[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0A5A2B-AFB1-437D-90E2-A2886B74E538}" name="PivotTable10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7:E28" firstHeaderRow="1" firstDataRow="1" firstDataCol="1"/>
  <pivotFields count="11">
    <pivotField showAll="0"/>
    <pivotField showAll="0"/>
    <pivotField showAll="0"/>
    <pivotField showAll="0"/>
    <pivotField showAll="0"/>
    <pivotField axis="axisRow" showAll="0">
      <items count="21">
        <item x="4"/>
        <item x="10"/>
        <item x="7"/>
        <item x="12"/>
        <item x="18"/>
        <item x="0"/>
        <item x="11"/>
        <item x="13"/>
        <item x="9"/>
        <item x="1"/>
        <item x="17"/>
        <item x="16"/>
        <item x="15"/>
        <item x="19"/>
        <item x="6"/>
        <item x="5"/>
        <item x="3"/>
        <item x="8"/>
        <item x="14"/>
        <item x="2"/>
        <item t="default"/>
      </items>
    </pivotField>
    <pivotField showAll="0"/>
    <pivotField numFmtId="165" showAll="0"/>
    <pivotField numFmtId="165" showAll="0"/>
    <pivotField numFmtId="165" showAll="0"/>
    <pivotField showAll="0"/>
  </pivotFields>
  <rowFields count="1">
    <field x="5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8818E-9E16-4A5E-86A7-CAF0ED7BF623}" name="PivotTable9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4:C23" firstHeaderRow="1" firstDataRow="1" firstDataCol="1"/>
  <pivotFields count="11">
    <pivotField showAll="0"/>
    <pivotField showAll="0"/>
    <pivotField showAll="0"/>
    <pivotField axis="axisRow" showAll="0">
      <items count="9">
        <item x="4"/>
        <item x="5"/>
        <item x="2"/>
        <item x="0"/>
        <item x="1"/>
        <item x="6"/>
        <item x="3"/>
        <item x="7"/>
        <item t="default"/>
      </items>
    </pivotField>
    <pivotField showAll="0"/>
    <pivotField showAll="0"/>
    <pivotField showAll="0"/>
    <pivotField numFmtId="165" showAll="0"/>
    <pivotField dataField="1" numFmtId="165" showAll="0"/>
    <pivotField numFmtId="165"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ales" fld="8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D62C0-B503-435B-BF8A-782A5D6D947A}" name="PivotTable7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numFmtId="165" showAll="0"/>
    <pivotField dataField="1" numFmtId="165" showAll="0"/>
    <pivotField numFmtId="165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150294-50A2-46D4-BC3E-866CA2739CC5}" name="SalesData" displayName="SalesData" ref="A1:K121" totalsRowShown="0">
  <autoFilter ref="A1:K121" xr:uid="{8E150294-50A2-46D4-BC3E-866CA2739CC5}"/>
  <tableColumns count="11">
    <tableColumn id="1" xr3:uid="{EF79CBD4-B534-4C1E-999E-52D98A2285BC}" name="Order ID"/>
    <tableColumn id="2" xr3:uid="{A1164898-F5A5-4E9A-AD80-E00084CC4900}" name="Date"/>
    <tableColumn id="3" xr3:uid="{EC2D7694-2C17-451F-98CB-7A66F77C635C}" name="Region"/>
    <tableColumn id="4" xr3:uid="{5724A015-3C6E-4182-A66E-D73EA7E859C0}" name="Product"/>
    <tableColumn id="5" xr3:uid="{3F518EF9-08EE-48C0-84B2-55642AAD0B05}" name="Category"/>
    <tableColumn id="6" xr3:uid="{EEA98EF4-AD88-4467-AFB1-F017E1FAA4BF}" name="Customer"/>
    <tableColumn id="7" xr3:uid="{42AA311B-C619-432D-BB7E-0F09388915DB}" name="Units Sold"/>
    <tableColumn id="8" xr3:uid="{97A047E4-A54C-4D3B-B7CF-E78906DF5870}" name="Unit Price" dataDxfId="2"/>
    <tableColumn id="9" xr3:uid="{9E90114F-48D5-4D8D-BD58-88FA7994D226}" name="Total Sales" dataDxfId="1"/>
    <tableColumn id="10" xr3:uid="{FB167FA7-FF5E-4E57-8142-FC2D0054588A}" name="Check Sales" dataDxfId="0">
      <calculatedColumnFormula>G2*H2</calculatedColumnFormula>
    </tableColumn>
    <tableColumn id="11" xr3:uid="{4EBAA8A9-7A8C-43C4-AC62-ED1473FEE7CF}" name="Match" dataDxfId="3">
      <calculatedColumnFormula>SalesData[[#This Row],[Check Sales]]=SalesData[[#This Row],[Total Sales]]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EE60-A061-40EC-8444-E4C8C2B05C7D}">
  <dimension ref="A3:B8"/>
  <sheetViews>
    <sheetView workbookViewId="0">
      <selection activeCell="B14" sqref="B14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2" t="s">
        <v>120</v>
      </c>
      <c r="B3" t="s">
        <v>122</v>
      </c>
    </row>
    <row r="4" spans="1:2" x14ac:dyDescent="0.3">
      <c r="A4" s="3" t="s">
        <v>15</v>
      </c>
      <c r="B4" s="4">
        <v>49560</v>
      </c>
    </row>
    <row r="5" spans="1:2" x14ac:dyDescent="0.3">
      <c r="A5" s="3" t="s">
        <v>29</v>
      </c>
      <c r="B5" s="4">
        <v>56690</v>
      </c>
    </row>
    <row r="6" spans="1:2" x14ac:dyDescent="0.3">
      <c r="A6" s="3" t="s">
        <v>10</v>
      </c>
      <c r="B6" s="4">
        <v>55200</v>
      </c>
    </row>
    <row r="7" spans="1:2" x14ac:dyDescent="0.3">
      <c r="A7" s="3" t="s">
        <v>25</v>
      </c>
      <c r="B7" s="4">
        <v>59610</v>
      </c>
    </row>
    <row r="8" spans="1:2" x14ac:dyDescent="0.3">
      <c r="A8" s="3" t="s">
        <v>121</v>
      </c>
      <c r="B8" s="4">
        <v>221060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0136E-EE75-4F16-9358-4D1D86612DDD}">
  <dimension ref="A3:E28"/>
  <sheetViews>
    <sheetView tabSelected="1" topLeftCell="D1" workbookViewId="0">
      <selection activeCell="E7" sqref="E7"/>
    </sheetView>
  </sheetViews>
  <sheetFormatPr defaultRowHeight="14.4" x14ac:dyDescent="0.3"/>
  <cols>
    <col min="1" max="2" width="12.5546875" bestFit="1" customWidth="1"/>
    <col min="3" max="3" width="16.44140625" bestFit="1" customWidth="1"/>
    <col min="5" max="5" width="12.5546875" bestFit="1" customWidth="1"/>
    <col min="6" max="6" width="6.33203125" bestFit="1" customWidth="1"/>
  </cols>
  <sheetData>
    <row r="3" spans="1:5" x14ac:dyDescent="0.3">
      <c r="A3" s="2" t="s">
        <v>120</v>
      </c>
      <c r="B3" t="s">
        <v>122</v>
      </c>
    </row>
    <row r="4" spans="1:5" x14ac:dyDescent="0.3">
      <c r="A4" s="3" t="s">
        <v>15</v>
      </c>
      <c r="B4" s="1">
        <v>49560</v>
      </c>
    </row>
    <row r="5" spans="1:5" x14ac:dyDescent="0.3">
      <c r="A5" s="3" t="s">
        <v>29</v>
      </c>
      <c r="B5" s="1">
        <v>56690</v>
      </c>
    </row>
    <row r="6" spans="1:5" x14ac:dyDescent="0.3">
      <c r="A6" s="3" t="s">
        <v>10</v>
      </c>
      <c r="B6" s="1">
        <v>55200</v>
      </c>
    </row>
    <row r="7" spans="1:5" x14ac:dyDescent="0.3">
      <c r="A7" s="3" t="s">
        <v>25</v>
      </c>
      <c r="B7" s="1">
        <v>59610</v>
      </c>
      <c r="E7" s="2" t="s">
        <v>120</v>
      </c>
    </row>
    <row r="8" spans="1:5" x14ac:dyDescent="0.3">
      <c r="A8" s="3" t="s">
        <v>121</v>
      </c>
      <c r="B8" s="1">
        <v>221060</v>
      </c>
      <c r="E8" s="3" t="s">
        <v>27</v>
      </c>
    </row>
    <row r="9" spans="1:5" x14ac:dyDescent="0.3">
      <c r="E9" s="3" t="s">
        <v>46</v>
      </c>
    </row>
    <row r="10" spans="1:5" x14ac:dyDescent="0.3">
      <c r="E10" s="3" t="s">
        <v>40</v>
      </c>
    </row>
    <row r="11" spans="1:5" x14ac:dyDescent="0.3">
      <c r="E11" s="3" t="s">
        <v>53</v>
      </c>
    </row>
    <row r="12" spans="1:5" x14ac:dyDescent="0.3">
      <c r="E12" s="3" t="s">
        <v>78</v>
      </c>
    </row>
    <row r="13" spans="1:5" x14ac:dyDescent="0.3">
      <c r="E13" s="3" t="s">
        <v>13</v>
      </c>
    </row>
    <row r="14" spans="1:5" x14ac:dyDescent="0.3">
      <c r="B14" s="2" t="s">
        <v>120</v>
      </c>
      <c r="C14" t="s">
        <v>122</v>
      </c>
      <c r="E14" s="3" t="s">
        <v>49</v>
      </c>
    </row>
    <row r="15" spans="1:5" x14ac:dyDescent="0.3">
      <c r="B15" s="3" t="s">
        <v>30</v>
      </c>
      <c r="C15" s="1">
        <v>15600</v>
      </c>
      <c r="E15" s="3" t="s">
        <v>56</v>
      </c>
    </row>
    <row r="16" spans="1:5" x14ac:dyDescent="0.3">
      <c r="B16" s="3" t="s">
        <v>35</v>
      </c>
      <c r="C16" s="1">
        <v>6960</v>
      </c>
      <c r="E16" s="3" t="s">
        <v>44</v>
      </c>
    </row>
    <row r="17" spans="2:5" x14ac:dyDescent="0.3">
      <c r="B17" s="3" t="s">
        <v>19</v>
      </c>
      <c r="C17" s="1">
        <v>29750</v>
      </c>
      <c r="E17" s="3" t="s">
        <v>17</v>
      </c>
    </row>
    <row r="18" spans="2:5" x14ac:dyDescent="0.3">
      <c r="B18" s="3" t="s">
        <v>11</v>
      </c>
      <c r="C18" s="1">
        <v>61200</v>
      </c>
      <c r="E18" s="3" t="s">
        <v>75</v>
      </c>
    </row>
    <row r="19" spans="2:5" x14ac:dyDescent="0.3">
      <c r="B19" s="3" t="s">
        <v>16</v>
      </c>
      <c r="C19" s="1">
        <v>24000</v>
      </c>
      <c r="E19" s="3" t="s">
        <v>72</v>
      </c>
    </row>
    <row r="20" spans="2:5" x14ac:dyDescent="0.3">
      <c r="B20" s="3" t="s">
        <v>48</v>
      </c>
      <c r="C20" s="1">
        <v>43200</v>
      </c>
      <c r="E20" s="3" t="s">
        <v>67</v>
      </c>
    </row>
    <row r="21" spans="2:5" x14ac:dyDescent="0.3">
      <c r="B21" s="3" t="s">
        <v>26</v>
      </c>
      <c r="C21" s="1">
        <v>18750</v>
      </c>
      <c r="E21" s="3" t="s">
        <v>82</v>
      </c>
    </row>
    <row r="22" spans="2:5" x14ac:dyDescent="0.3">
      <c r="B22" s="3" t="s">
        <v>59</v>
      </c>
      <c r="C22" s="1">
        <v>21600</v>
      </c>
      <c r="E22" s="3" t="s">
        <v>38</v>
      </c>
    </row>
    <row r="23" spans="2:5" x14ac:dyDescent="0.3">
      <c r="B23" s="3" t="s">
        <v>121</v>
      </c>
      <c r="C23" s="1">
        <v>221060</v>
      </c>
      <c r="E23" s="3" t="s">
        <v>32</v>
      </c>
    </row>
    <row r="24" spans="2:5" x14ac:dyDescent="0.3">
      <c r="E24" s="3" t="s">
        <v>23</v>
      </c>
    </row>
    <row r="25" spans="2:5" x14ac:dyDescent="0.3">
      <c r="E25" s="3" t="s">
        <v>42</v>
      </c>
    </row>
    <row r="26" spans="2:5" x14ac:dyDescent="0.3">
      <c r="E26" s="3" t="s">
        <v>64</v>
      </c>
    </row>
    <row r="27" spans="2:5" x14ac:dyDescent="0.3">
      <c r="E27" s="3" t="s">
        <v>21</v>
      </c>
    </row>
    <row r="28" spans="2:5" x14ac:dyDescent="0.3">
      <c r="E28" s="3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opLeftCell="A2" workbookViewId="0">
      <selection activeCell="B9" sqref="A2:K121"/>
    </sheetView>
  </sheetViews>
  <sheetFormatPr defaultRowHeight="14.4" x14ac:dyDescent="0.3"/>
  <cols>
    <col min="1" max="1" width="9.88671875" customWidth="1"/>
    <col min="4" max="4" width="9.5546875" customWidth="1"/>
    <col min="5" max="5" width="10.44140625" customWidth="1"/>
    <col min="6" max="6" width="11" customWidth="1"/>
    <col min="7" max="7" width="11.33203125" customWidth="1"/>
    <col min="8" max="8" width="11" style="1" customWidth="1"/>
    <col min="9" max="9" width="11.77734375" style="1" customWidth="1"/>
    <col min="10" max="10" width="12.44140625" style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118</v>
      </c>
      <c r="K1" t="s">
        <v>119</v>
      </c>
    </row>
    <row r="2" spans="1:11" x14ac:dyDescent="0.3">
      <c r="A2">
        <v>1001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 s="1">
        <v>900</v>
      </c>
      <c r="I2" s="1">
        <v>1800</v>
      </c>
      <c r="J2" s="1">
        <f t="shared" ref="J2:J33" si="0">G2*H2</f>
        <v>1800</v>
      </c>
      <c r="K2" t="b">
        <f>SalesData[[#This Row],[Check Sales]]=SalesData[[#This Row],[Total Sales]]</f>
        <v>1</v>
      </c>
    </row>
    <row r="3" spans="1:11" x14ac:dyDescent="0.3">
      <c r="A3">
        <v>1002</v>
      </c>
      <c r="B3" t="s">
        <v>14</v>
      </c>
      <c r="C3" t="s">
        <v>15</v>
      </c>
      <c r="D3" t="s">
        <v>16</v>
      </c>
      <c r="E3" t="s">
        <v>12</v>
      </c>
      <c r="F3" t="s">
        <v>17</v>
      </c>
      <c r="G3">
        <v>8</v>
      </c>
      <c r="H3" s="1">
        <v>300</v>
      </c>
      <c r="I3" s="1">
        <v>2400</v>
      </c>
      <c r="J3" s="1">
        <f t="shared" si="0"/>
        <v>2400</v>
      </c>
      <c r="K3" t="b">
        <f>SalesData[[#This Row],[Check Sales]]=SalesData[[#This Row],[Total Sales]]</f>
        <v>1</v>
      </c>
    </row>
    <row r="4" spans="1:11" x14ac:dyDescent="0.3">
      <c r="A4">
        <v>1003</v>
      </c>
      <c r="B4" t="s">
        <v>18</v>
      </c>
      <c r="C4" t="s">
        <v>15</v>
      </c>
      <c r="D4" t="s">
        <v>19</v>
      </c>
      <c r="E4" t="s">
        <v>20</v>
      </c>
      <c r="F4" t="s">
        <v>21</v>
      </c>
      <c r="G4">
        <v>6</v>
      </c>
      <c r="H4" s="1">
        <v>350</v>
      </c>
      <c r="I4" s="1">
        <v>2100</v>
      </c>
      <c r="J4" s="1">
        <f t="shared" si="0"/>
        <v>2100</v>
      </c>
      <c r="K4" t="b">
        <f>SalesData[[#This Row],[Check Sales]]=SalesData[[#This Row],[Total Sales]]</f>
        <v>1</v>
      </c>
    </row>
    <row r="5" spans="1:11" x14ac:dyDescent="0.3">
      <c r="A5">
        <v>1004</v>
      </c>
      <c r="B5" t="s">
        <v>22</v>
      </c>
      <c r="C5" t="s">
        <v>10</v>
      </c>
      <c r="D5" t="s">
        <v>19</v>
      </c>
      <c r="E5" t="s">
        <v>20</v>
      </c>
      <c r="F5" t="s">
        <v>23</v>
      </c>
      <c r="G5">
        <v>2</v>
      </c>
      <c r="H5" s="1">
        <v>350</v>
      </c>
      <c r="I5" s="1">
        <v>700</v>
      </c>
      <c r="J5" s="1">
        <f t="shared" si="0"/>
        <v>700</v>
      </c>
      <c r="K5" t="b">
        <f>SalesData[[#This Row],[Check Sales]]=SalesData[[#This Row],[Total Sales]]</f>
        <v>1</v>
      </c>
    </row>
    <row r="6" spans="1:11" x14ac:dyDescent="0.3">
      <c r="A6">
        <v>1005</v>
      </c>
      <c r="B6" t="s">
        <v>24</v>
      </c>
      <c r="C6" t="s">
        <v>25</v>
      </c>
      <c r="D6" t="s">
        <v>26</v>
      </c>
      <c r="E6" t="s">
        <v>12</v>
      </c>
      <c r="F6" t="s">
        <v>27</v>
      </c>
      <c r="G6">
        <v>5</v>
      </c>
      <c r="H6" s="1">
        <v>250</v>
      </c>
      <c r="I6" s="1">
        <v>1250</v>
      </c>
      <c r="J6" s="1">
        <f t="shared" si="0"/>
        <v>1250</v>
      </c>
      <c r="K6" t="b">
        <f>SalesData[[#This Row],[Check Sales]]=SalesData[[#This Row],[Total Sales]]</f>
        <v>1</v>
      </c>
    </row>
    <row r="7" spans="1:11" x14ac:dyDescent="0.3">
      <c r="A7">
        <v>1006</v>
      </c>
      <c r="B7" t="s">
        <v>28</v>
      </c>
      <c r="C7" t="s">
        <v>29</v>
      </c>
      <c r="D7" t="s">
        <v>30</v>
      </c>
      <c r="E7" t="s">
        <v>20</v>
      </c>
      <c r="F7" t="s">
        <v>21</v>
      </c>
      <c r="G7">
        <v>1</v>
      </c>
      <c r="H7" s="1">
        <v>200</v>
      </c>
      <c r="I7" s="1">
        <v>200</v>
      </c>
      <c r="J7" s="1">
        <f t="shared" si="0"/>
        <v>200</v>
      </c>
      <c r="K7" t="b">
        <f>SalesData[[#This Row],[Check Sales]]=SalesData[[#This Row],[Total Sales]]</f>
        <v>1</v>
      </c>
    </row>
    <row r="8" spans="1:11" x14ac:dyDescent="0.3">
      <c r="A8">
        <v>1007</v>
      </c>
      <c r="B8" t="s">
        <v>31</v>
      </c>
      <c r="C8" t="s">
        <v>15</v>
      </c>
      <c r="D8" t="s">
        <v>30</v>
      </c>
      <c r="E8" t="s">
        <v>20</v>
      </c>
      <c r="F8" t="s">
        <v>32</v>
      </c>
      <c r="G8">
        <v>7</v>
      </c>
      <c r="H8" s="1">
        <v>200</v>
      </c>
      <c r="I8" s="1">
        <v>1400</v>
      </c>
      <c r="J8" s="1">
        <f t="shared" si="0"/>
        <v>1400</v>
      </c>
      <c r="K8" t="b">
        <f>SalesData[[#This Row],[Check Sales]]=SalesData[[#This Row],[Total Sales]]</f>
        <v>1</v>
      </c>
    </row>
    <row r="9" spans="1:11" x14ac:dyDescent="0.3">
      <c r="A9">
        <v>1008</v>
      </c>
      <c r="B9" t="s">
        <v>33</v>
      </c>
      <c r="C9" t="s">
        <v>10</v>
      </c>
      <c r="D9" t="s">
        <v>30</v>
      </c>
      <c r="E9" t="s">
        <v>20</v>
      </c>
      <c r="F9" t="s">
        <v>23</v>
      </c>
      <c r="G9">
        <v>5</v>
      </c>
      <c r="H9" s="1">
        <v>200</v>
      </c>
      <c r="I9" s="1">
        <v>1000</v>
      </c>
      <c r="J9" s="1">
        <f t="shared" si="0"/>
        <v>1000</v>
      </c>
      <c r="K9" t="b">
        <f>SalesData[[#This Row],[Check Sales]]=SalesData[[#This Row],[Total Sales]]</f>
        <v>1</v>
      </c>
    </row>
    <row r="10" spans="1:11" x14ac:dyDescent="0.3">
      <c r="A10">
        <v>1009</v>
      </c>
      <c r="B10" t="s">
        <v>34</v>
      </c>
      <c r="C10" t="s">
        <v>25</v>
      </c>
      <c r="D10" t="s">
        <v>35</v>
      </c>
      <c r="E10" t="s">
        <v>20</v>
      </c>
      <c r="F10" t="s">
        <v>27</v>
      </c>
      <c r="G10">
        <v>5</v>
      </c>
      <c r="H10" s="1">
        <v>120</v>
      </c>
      <c r="I10" s="1">
        <v>600</v>
      </c>
      <c r="J10" s="1">
        <f t="shared" si="0"/>
        <v>600</v>
      </c>
      <c r="K10" t="b">
        <f>SalesData[[#This Row],[Check Sales]]=SalesData[[#This Row],[Total Sales]]</f>
        <v>1</v>
      </c>
    </row>
    <row r="11" spans="1:11" x14ac:dyDescent="0.3">
      <c r="A11">
        <v>1010</v>
      </c>
      <c r="B11" t="s">
        <v>36</v>
      </c>
      <c r="C11" t="s">
        <v>25</v>
      </c>
      <c r="D11" t="s">
        <v>16</v>
      </c>
      <c r="E11" t="s">
        <v>12</v>
      </c>
      <c r="F11" t="s">
        <v>17</v>
      </c>
      <c r="G11">
        <v>7</v>
      </c>
      <c r="H11" s="1">
        <v>300</v>
      </c>
      <c r="I11" s="1">
        <v>2100</v>
      </c>
      <c r="J11" s="1">
        <f t="shared" si="0"/>
        <v>2100</v>
      </c>
      <c r="K11" t="b">
        <f>SalesData[[#This Row],[Check Sales]]=SalesData[[#This Row],[Total Sales]]</f>
        <v>1</v>
      </c>
    </row>
    <row r="12" spans="1:11" x14ac:dyDescent="0.3">
      <c r="A12">
        <v>1011</v>
      </c>
      <c r="B12" t="s">
        <v>37</v>
      </c>
      <c r="C12" t="s">
        <v>10</v>
      </c>
      <c r="D12" t="s">
        <v>11</v>
      </c>
      <c r="E12" t="s">
        <v>12</v>
      </c>
      <c r="F12" t="s">
        <v>38</v>
      </c>
      <c r="G12">
        <v>1</v>
      </c>
      <c r="H12" s="1">
        <v>900</v>
      </c>
      <c r="I12" s="1">
        <v>900</v>
      </c>
      <c r="J12" s="1">
        <f t="shared" si="0"/>
        <v>900</v>
      </c>
      <c r="K12" t="b">
        <f>SalesData[[#This Row],[Check Sales]]=SalesData[[#This Row],[Total Sales]]</f>
        <v>1</v>
      </c>
    </row>
    <row r="13" spans="1:11" x14ac:dyDescent="0.3">
      <c r="A13">
        <v>1012</v>
      </c>
      <c r="B13" t="s">
        <v>39</v>
      </c>
      <c r="C13" t="s">
        <v>10</v>
      </c>
      <c r="D13" t="s">
        <v>11</v>
      </c>
      <c r="E13" t="s">
        <v>12</v>
      </c>
      <c r="F13" t="s">
        <v>40</v>
      </c>
      <c r="G13">
        <v>7</v>
      </c>
      <c r="H13" s="1">
        <v>900</v>
      </c>
      <c r="I13" s="1">
        <v>6300</v>
      </c>
      <c r="J13" s="1">
        <f t="shared" si="0"/>
        <v>6300</v>
      </c>
      <c r="K13" t="b">
        <f>SalesData[[#This Row],[Check Sales]]=SalesData[[#This Row],[Total Sales]]</f>
        <v>1</v>
      </c>
    </row>
    <row r="14" spans="1:11" x14ac:dyDescent="0.3">
      <c r="A14">
        <v>1013</v>
      </c>
      <c r="B14" t="s">
        <v>41</v>
      </c>
      <c r="C14" t="s">
        <v>15</v>
      </c>
      <c r="D14" t="s">
        <v>11</v>
      </c>
      <c r="E14" t="s">
        <v>12</v>
      </c>
      <c r="F14" t="s">
        <v>42</v>
      </c>
      <c r="G14">
        <v>7</v>
      </c>
      <c r="H14" s="1">
        <v>900</v>
      </c>
      <c r="I14" s="1">
        <v>6300</v>
      </c>
      <c r="J14" s="1">
        <f t="shared" si="0"/>
        <v>6300</v>
      </c>
      <c r="K14" t="b">
        <f>SalesData[[#This Row],[Check Sales]]=SalesData[[#This Row],[Total Sales]]</f>
        <v>1</v>
      </c>
    </row>
    <row r="15" spans="1:11" x14ac:dyDescent="0.3">
      <c r="A15">
        <v>1014</v>
      </c>
      <c r="B15" t="s">
        <v>43</v>
      </c>
      <c r="C15" t="s">
        <v>29</v>
      </c>
      <c r="D15" t="s">
        <v>30</v>
      </c>
      <c r="E15" t="s">
        <v>20</v>
      </c>
      <c r="F15" t="s">
        <v>44</v>
      </c>
      <c r="G15">
        <v>6</v>
      </c>
      <c r="H15" s="1">
        <v>200</v>
      </c>
      <c r="I15" s="1">
        <v>1200</v>
      </c>
      <c r="J15" s="1">
        <f t="shared" si="0"/>
        <v>1200</v>
      </c>
      <c r="K15" t="b">
        <f>SalesData[[#This Row],[Check Sales]]=SalesData[[#This Row],[Total Sales]]</f>
        <v>1</v>
      </c>
    </row>
    <row r="16" spans="1:11" x14ac:dyDescent="0.3">
      <c r="A16">
        <v>1015</v>
      </c>
      <c r="B16" t="s">
        <v>45</v>
      </c>
      <c r="C16" t="s">
        <v>10</v>
      </c>
      <c r="D16" t="s">
        <v>16</v>
      </c>
      <c r="E16" t="s">
        <v>12</v>
      </c>
      <c r="F16" t="s">
        <v>23</v>
      </c>
      <c r="G16">
        <v>7</v>
      </c>
      <c r="H16" s="1">
        <v>300</v>
      </c>
      <c r="I16" s="1">
        <v>2100</v>
      </c>
      <c r="J16" s="1">
        <f t="shared" si="0"/>
        <v>2100</v>
      </c>
      <c r="K16" t="b">
        <f>SalesData[[#This Row],[Check Sales]]=SalesData[[#This Row],[Total Sales]]</f>
        <v>1</v>
      </c>
    </row>
    <row r="17" spans="1:11" x14ac:dyDescent="0.3">
      <c r="A17">
        <v>1016</v>
      </c>
      <c r="B17" t="s">
        <v>24</v>
      </c>
      <c r="C17" t="s">
        <v>29</v>
      </c>
      <c r="D17" t="s">
        <v>11</v>
      </c>
      <c r="E17" t="s">
        <v>12</v>
      </c>
      <c r="F17" t="s">
        <v>46</v>
      </c>
      <c r="G17">
        <v>5</v>
      </c>
      <c r="H17" s="1">
        <v>900</v>
      </c>
      <c r="I17" s="1">
        <v>4500</v>
      </c>
      <c r="J17" s="1">
        <f t="shared" si="0"/>
        <v>4500</v>
      </c>
      <c r="K17" t="b">
        <f>SalesData[[#This Row],[Check Sales]]=SalesData[[#This Row],[Total Sales]]</f>
        <v>1</v>
      </c>
    </row>
    <row r="18" spans="1:11" x14ac:dyDescent="0.3">
      <c r="A18">
        <v>1017</v>
      </c>
      <c r="B18" t="s">
        <v>47</v>
      </c>
      <c r="C18" t="s">
        <v>25</v>
      </c>
      <c r="D18" t="s">
        <v>48</v>
      </c>
      <c r="E18" t="s">
        <v>12</v>
      </c>
      <c r="F18" t="s">
        <v>49</v>
      </c>
      <c r="G18">
        <v>2</v>
      </c>
      <c r="H18" s="1">
        <v>600</v>
      </c>
      <c r="I18" s="1">
        <v>1200</v>
      </c>
      <c r="J18" s="1">
        <f t="shared" si="0"/>
        <v>1200</v>
      </c>
      <c r="K18" t="b">
        <f>SalesData[[#This Row],[Check Sales]]=SalesData[[#This Row],[Total Sales]]</f>
        <v>1</v>
      </c>
    </row>
    <row r="19" spans="1:11" x14ac:dyDescent="0.3">
      <c r="A19">
        <v>1018</v>
      </c>
      <c r="B19" t="s">
        <v>50</v>
      </c>
      <c r="C19" t="s">
        <v>25</v>
      </c>
      <c r="D19" t="s">
        <v>48</v>
      </c>
      <c r="E19" t="s">
        <v>12</v>
      </c>
      <c r="F19" t="s">
        <v>23</v>
      </c>
      <c r="G19">
        <v>4</v>
      </c>
      <c r="H19" s="1">
        <v>600</v>
      </c>
      <c r="I19" s="1">
        <v>2400</v>
      </c>
      <c r="J19" s="1">
        <f t="shared" si="0"/>
        <v>2400</v>
      </c>
      <c r="K19" t="b">
        <f>SalesData[[#This Row],[Check Sales]]=SalesData[[#This Row],[Total Sales]]</f>
        <v>1</v>
      </c>
    </row>
    <row r="20" spans="1:11" x14ac:dyDescent="0.3">
      <c r="A20">
        <v>1019</v>
      </c>
      <c r="B20" t="s">
        <v>51</v>
      </c>
      <c r="C20" t="s">
        <v>29</v>
      </c>
      <c r="D20" t="s">
        <v>16</v>
      </c>
      <c r="E20" t="s">
        <v>12</v>
      </c>
      <c r="F20" t="s">
        <v>23</v>
      </c>
      <c r="G20">
        <v>3</v>
      </c>
      <c r="H20" s="1">
        <v>300</v>
      </c>
      <c r="I20" s="1">
        <v>900</v>
      </c>
      <c r="J20" s="1">
        <f t="shared" si="0"/>
        <v>900</v>
      </c>
      <c r="K20" t="b">
        <f>SalesData[[#This Row],[Check Sales]]=SalesData[[#This Row],[Total Sales]]</f>
        <v>1</v>
      </c>
    </row>
    <row r="21" spans="1:11" x14ac:dyDescent="0.3">
      <c r="A21">
        <v>1020</v>
      </c>
      <c r="B21" t="s">
        <v>43</v>
      </c>
      <c r="C21" t="s">
        <v>15</v>
      </c>
      <c r="D21" t="s">
        <v>48</v>
      </c>
      <c r="E21" t="s">
        <v>12</v>
      </c>
      <c r="F21" t="s">
        <v>38</v>
      </c>
      <c r="G21">
        <v>2</v>
      </c>
      <c r="H21" s="1">
        <v>600</v>
      </c>
      <c r="I21" s="1">
        <v>1200</v>
      </c>
      <c r="J21" s="1">
        <f t="shared" si="0"/>
        <v>1200</v>
      </c>
      <c r="K21" t="b">
        <f>SalesData[[#This Row],[Check Sales]]=SalesData[[#This Row],[Total Sales]]</f>
        <v>1</v>
      </c>
    </row>
    <row r="22" spans="1:11" x14ac:dyDescent="0.3">
      <c r="A22">
        <v>1021</v>
      </c>
      <c r="B22" t="s">
        <v>52</v>
      </c>
      <c r="C22" t="s">
        <v>25</v>
      </c>
      <c r="D22" t="s">
        <v>35</v>
      </c>
      <c r="E22" t="s">
        <v>20</v>
      </c>
      <c r="F22" t="s">
        <v>53</v>
      </c>
      <c r="G22">
        <v>3</v>
      </c>
      <c r="H22" s="1">
        <v>120</v>
      </c>
      <c r="I22" s="1">
        <v>360</v>
      </c>
      <c r="J22" s="1">
        <f t="shared" si="0"/>
        <v>360</v>
      </c>
      <c r="K22" t="b">
        <f>SalesData[[#This Row],[Check Sales]]=SalesData[[#This Row],[Total Sales]]</f>
        <v>1</v>
      </c>
    </row>
    <row r="23" spans="1:11" x14ac:dyDescent="0.3">
      <c r="A23">
        <v>1022</v>
      </c>
      <c r="B23" t="s">
        <v>54</v>
      </c>
      <c r="C23" t="s">
        <v>15</v>
      </c>
      <c r="D23" t="s">
        <v>30</v>
      </c>
      <c r="E23" t="s">
        <v>20</v>
      </c>
      <c r="F23" t="s">
        <v>17</v>
      </c>
      <c r="G23">
        <v>7</v>
      </c>
      <c r="H23" s="1">
        <v>200</v>
      </c>
      <c r="I23" s="1">
        <v>1400</v>
      </c>
      <c r="J23" s="1">
        <f t="shared" si="0"/>
        <v>1400</v>
      </c>
      <c r="K23" t="b">
        <f>SalesData[[#This Row],[Check Sales]]=SalesData[[#This Row],[Total Sales]]</f>
        <v>1</v>
      </c>
    </row>
    <row r="24" spans="1:11" x14ac:dyDescent="0.3">
      <c r="A24">
        <v>1023</v>
      </c>
      <c r="B24" t="s">
        <v>55</v>
      </c>
      <c r="C24" t="s">
        <v>10</v>
      </c>
      <c r="D24" t="s">
        <v>19</v>
      </c>
      <c r="E24" t="s">
        <v>20</v>
      </c>
      <c r="F24" t="s">
        <v>32</v>
      </c>
      <c r="G24">
        <v>8</v>
      </c>
      <c r="H24" s="1">
        <v>350</v>
      </c>
      <c r="I24" s="1">
        <v>2800</v>
      </c>
      <c r="J24" s="1">
        <f t="shared" si="0"/>
        <v>2800</v>
      </c>
      <c r="K24" t="b">
        <f>SalesData[[#This Row],[Check Sales]]=SalesData[[#This Row],[Total Sales]]</f>
        <v>1</v>
      </c>
    </row>
    <row r="25" spans="1:11" x14ac:dyDescent="0.3">
      <c r="A25">
        <v>1024</v>
      </c>
      <c r="B25" t="s">
        <v>55</v>
      </c>
      <c r="C25" t="s">
        <v>15</v>
      </c>
      <c r="D25" t="s">
        <v>26</v>
      </c>
      <c r="E25" t="s">
        <v>12</v>
      </c>
      <c r="F25" t="s">
        <v>56</v>
      </c>
      <c r="G25">
        <v>4</v>
      </c>
      <c r="H25" s="1">
        <v>250</v>
      </c>
      <c r="I25" s="1">
        <v>1000</v>
      </c>
      <c r="J25" s="1">
        <f t="shared" si="0"/>
        <v>1000</v>
      </c>
      <c r="K25" t="b">
        <f>SalesData[[#This Row],[Check Sales]]=SalesData[[#This Row],[Total Sales]]</f>
        <v>1</v>
      </c>
    </row>
    <row r="26" spans="1:11" x14ac:dyDescent="0.3">
      <c r="A26">
        <v>1025</v>
      </c>
      <c r="B26" t="s">
        <v>45</v>
      </c>
      <c r="C26" t="s">
        <v>25</v>
      </c>
      <c r="D26" t="s">
        <v>48</v>
      </c>
      <c r="E26" t="s">
        <v>12</v>
      </c>
      <c r="F26" t="s">
        <v>56</v>
      </c>
      <c r="G26">
        <v>7</v>
      </c>
      <c r="H26" s="1">
        <v>600</v>
      </c>
      <c r="I26" s="1">
        <v>4200</v>
      </c>
      <c r="J26" s="1">
        <f t="shared" si="0"/>
        <v>4200</v>
      </c>
      <c r="K26" t="b">
        <f>SalesData[[#This Row],[Check Sales]]=SalesData[[#This Row],[Total Sales]]</f>
        <v>1</v>
      </c>
    </row>
    <row r="27" spans="1:11" x14ac:dyDescent="0.3">
      <c r="A27">
        <v>1026</v>
      </c>
      <c r="B27" t="s">
        <v>57</v>
      </c>
      <c r="C27" t="s">
        <v>25</v>
      </c>
      <c r="D27" t="s">
        <v>30</v>
      </c>
      <c r="E27" t="s">
        <v>20</v>
      </c>
      <c r="F27" t="s">
        <v>40</v>
      </c>
      <c r="G27">
        <v>3</v>
      </c>
      <c r="H27" s="1">
        <v>200</v>
      </c>
      <c r="I27" s="1">
        <v>600</v>
      </c>
      <c r="J27" s="1">
        <f t="shared" si="0"/>
        <v>600</v>
      </c>
      <c r="K27" t="b">
        <f>SalesData[[#This Row],[Check Sales]]=SalesData[[#This Row],[Total Sales]]</f>
        <v>1</v>
      </c>
    </row>
    <row r="28" spans="1:11" x14ac:dyDescent="0.3">
      <c r="A28">
        <v>1027</v>
      </c>
      <c r="B28" t="s">
        <v>58</v>
      </c>
      <c r="C28" t="s">
        <v>15</v>
      </c>
      <c r="D28" t="s">
        <v>59</v>
      </c>
      <c r="E28" t="s">
        <v>12</v>
      </c>
      <c r="F28" t="s">
        <v>56</v>
      </c>
      <c r="G28">
        <v>7</v>
      </c>
      <c r="H28" s="1">
        <v>400</v>
      </c>
      <c r="I28" s="1">
        <v>2800</v>
      </c>
      <c r="J28" s="1">
        <f t="shared" si="0"/>
        <v>2800</v>
      </c>
      <c r="K28" t="b">
        <f>SalesData[[#This Row],[Check Sales]]=SalesData[[#This Row],[Total Sales]]</f>
        <v>1</v>
      </c>
    </row>
    <row r="29" spans="1:11" x14ac:dyDescent="0.3">
      <c r="A29">
        <v>1028</v>
      </c>
      <c r="B29" t="s">
        <v>60</v>
      </c>
      <c r="C29" t="s">
        <v>29</v>
      </c>
      <c r="D29" t="s">
        <v>35</v>
      </c>
      <c r="E29" t="s">
        <v>20</v>
      </c>
      <c r="F29" t="s">
        <v>40</v>
      </c>
      <c r="G29">
        <v>2</v>
      </c>
      <c r="H29" s="1">
        <v>120</v>
      </c>
      <c r="I29" s="1">
        <v>240</v>
      </c>
      <c r="J29" s="1">
        <f t="shared" si="0"/>
        <v>240</v>
      </c>
      <c r="K29" t="b">
        <f>SalesData[[#This Row],[Check Sales]]=SalesData[[#This Row],[Total Sales]]</f>
        <v>1</v>
      </c>
    </row>
    <row r="30" spans="1:11" x14ac:dyDescent="0.3">
      <c r="A30">
        <v>1029</v>
      </c>
      <c r="B30" t="s">
        <v>61</v>
      </c>
      <c r="C30" t="s">
        <v>10</v>
      </c>
      <c r="D30" t="s">
        <v>59</v>
      </c>
      <c r="E30" t="s">
        <v>12</v>
      </c>
      <c r="F30" t="s">
        <v>42</v>
      </c>
      <c r="G30">
        <v>7</v>
      </c>
      <c r="H30" s="1">
        <v>400</v>
      </c>
      <c r="I30" s="1">
        <v>2800</v>
      </c>
      <c r="J30" s="1">
        <f t="shared" si="0"/>
        <v>2800</v>
      </c>
      <c r="K30" t="b">
        <f>SalesData[[#This Row],[Check Sales]]=SalesData[[#This Row],[Total Sales]]</f>
        <v>1</v>
      </c>
    </row>
    <row r="31" spans="1:11" x14ac:dyDescent="0.3">
      <c r="A31">
        <v>1030</v>
      </c>
      <c r="B31" t="s">
        <v>62</v>
      </c>
      <c r="C31" t="s">
        <v>29</v>
      </c>
      <c r="D31" t="s">
        <v>26</v>
      </c>
      <c r="E31" t="s">
        <v>12</v>
      </c>
      <c r="F31" t="s">
        <v>32</v>
      </c>
      <c r="G31">
        <v>8</v>
      </c>
      <c r="H31" s="1">
        <v>250</v>
      </c>
      <c r="I31" s="1">
        <v>2000</v>
      </c>
      <c r="J31" s="1">
        <f t="shared" si="0"/>
        <v>2000</v>
      </c>
      <c r="K31" t="b">
        <f>SalesData[[#This Row],[Check Sales]]=SalesData[[#This Row],[Total Sales]]</f>
        <v>1</v>
      </c>
    </row>
    <row r="32" spans="1:11" x14ac:dyDescent="0.3">
      <c r="A32">
        <v>1031</v>
      </c>
      <c r="B32" t="s">
        <v>63</v>
      </c>
      <c r="C32" t="s">
        <v>15</v>
      </c>
      <c r="D32" t="s">
        <v>16</v>
      </c>
      <c r="E32" t="s">
        <v>12</v>
      </c>
      <c r="F32" t="s">
        <v>64</v>
      </c>
      <c r="G32">
        <v>3</v>
      </c>
      <c r="H32" s="1">
        <v>300</v>
      </c>
      <c r="I32" s="1">
        <v>900</v>
      </c>
      <c r="J32" s="1">
        <f t="shared" si="0"/>
        <v>900</v>
      </c>
      <c r="K32" t="b">
        <f>SalesData[[#This Row],[Check Sales]]=SalesData[[#This Row],[Total Sales]]</f>
        <v>1</v>
      </c>
    </row>
    <row r="33" spans="1:11" x14ac:dyDescent="0.3">
      <c r="A33">
        <v>1032</v>
      </c>
      <c r="B33" t="s">
        <v>65</v>
      </c>
      <c r="C33" t="s">
        <v>25</v>
      </c>
      <c r="D33" t="s">
        <v>30</v>
      </c>
      <c r="E33" t="s">
        <v>20</v>
      </c>
      <c r="F33" t="s">
        <v>53</v>
      </c>
      <c r="G33">
        <v>6</v>
      </c>
      <c r="H33" s="1">
        <v>200</v>
      </c>
      <c r="I33" s="1">
        <v>1200</v>
      </c>
      <c r="J33" s="1">
        <f t="shared" si="0"/>
        <v>1200</v>
      </c>
      <c r="K33" t="b">
        <f>SalesData[[#This Row],[Check Sales]]=SalesData[[#This Row],[Total Sales]]</f>
        <v>1</v>
      </c>
    </row>
    <row r="34" spans="1:11" x14ac:dyDescent="0.3">
      <c r="A34">
        <v>1033</v>
      </c>
      <c r="B34" t="s">
        <v>66</v>
      </c>
      <c r="C34" t="s">
        <v>25</v>
      </c>
      <c r="D34" t="s">
        <v>30</v>
      </c>
      <c r="E34" t="s">
        <v>20</v>
      </c>
      <c r="F34" t="s">
        <v>67</v>
      </c>
      <c r="G34">
        <v>2</v>
      </c>
      <c r="H34" s="1">
        <v>200</v>
      </c>
      <c r="I34" s="1">
        <v>400</v>
      </c>
      <c r="J34" s="1">
        <f t="shared" ref="J34:J65" si="1">G34*H34</f>
        <v>400</v>
      </c>
      <c r="K34" t="b">
        <f>SalesData[[#This Row],[Check Sales]]=SalesData[[#This Row],[Total Sales]]</f>
        <v>1</v>
      </c>
    </row>
    <row r="35" spans="1:11" x14ac:dyDescent="0.3">
      <c r="A35">
        <v>1034</v>
      </c>
      <c r="B35" t="s">
        <v>68</v>
      </c>
      <c r="C35" t="s">
        <v>25</v>
      </c>
      <c r="D35" t="s">
        <v>11</v>
      </c>
      <c r="E35" t="s">
        <v>12</v>
      </c>
      <c r="F35" t="s">
        <v>23</v>
      </c>
      <c r="G35">
        <v>6</v>
      </c>
      <c r="H35" s="1">
        <v>900</v>
      </c>
      <c r="I35" s="1">
        <v>5400</v>
      </c>
      <c r="J35" s="1">
        <f t="shared" si="1"/>
        <v>5400</v>
      </c>
      <c r="K35" t="b">
        <f>SalesData[[#This Row],[Check Sales]]=SalesData[[#This Row],[Total Sales]]</f>
        <v>1</v>
      </c>
    </row>
    <row r="36" spans="1:11" x14ac:dyDescent="0.3">
      <c r="A36">
        <v>1035</v>
      </c>
      <c r="B36" t="s">
        <v>69</v>
      </c>
      <c r="C36" t="s">
        <v>10</v>
      </c>
      <c r="D36" t="s">
        <v>11</v>
      </c>
      <c r="E36" t="s">
        <v>12</v>
      </c>
      <c r="F36" t="s">
        <v>42</v>
      </c>
      <c r="G36">
        <v>6</v>
      </c>
      <c r="H36" s="1">
        <v>900</v>
      </c>
      <c r="I36" s="1">
        <v>5400</v>
      </c>
      <c r="J36" s="1">
        <f t="shared" si="1"/>
        <v>5400</v>
      </c>
      <c r="K36" t="b">
        <f>SalesData[[#This Row],[Check Sales]]=SalesData[[#This Row],[Total Sales]]</f>
        <v>1</v>
      </c>
    </row>
    <row r="37" spans="1:11" x14ac:dyDescent="0.3">
      <c r="A37">
        <v>1036</v>
      </c>
      <c r="B37" t="s">
        <v>70</v>
      </c>
      <c r="C37" t="s">
        <v>15</v>
      </c>
      <c r="D37" t="s">
        <v>26</v>
      </c>
      <c r="E37" t="s">
        <v>12</v>
      </c>
      <c r="F37" t="s">
        <v>56</v>
      </c>
      <c r="G37">
        <v>8</v>
      </c>
      <c r="H37" s="1">
        <v>250</v>
      </c>
      <c r="I37" s="1">
        <v>2000</v>
      </c>
      <c r="J37" s="1">
        <f t="shared" si="1"/>
        <v>2000</v>
      </c>
      <c r="K37" t="b">
        <f>SalesData[[#This Row],[Check Sales]]=SalesData[[#This Row],[Total Sales]]</f>
        <v>1</v>
      </c>
    </row>
    <row r="38" spans="1:11" x14ac:dyDescent="0.3">
      <c r="A38">
        <v>1037</v>
      </c>
      <c r="B38" t="s">
        <v>71</v>
      </c>
      <c r="C38" t="s">
        <v>29</v>
      </c>
      <c r="D38" t="s">
        <v>26</v>
      </c>
      <c r="E38" t="s">
        <v>12</v>
      </c>
      <c r="F38" t="s">
        <v>32</v>
      </c>
      <c r="G38">
        <v>3</v>
      </c>
      <c r="H38" s="1">
        <v>250</v>
      </c>
      <c r="I38" s="1">
        <v>750</v>
      </c>
      <c r="J38" s="1">
        <f t="shared" si="1"/>
        <v>750</v>
      </c>
      <c r="K38" t="b">
        <f>SalesData[[#This Row],[Check Sales]]=SalesData[[#This Row],[Total Sales]]</f>
        <v>1</v>
      </c>
    </row>
    <row r="39" spans="1:11" x14ac:dyDescent="0.3">
      <c r="A39">
        <v>1038</v>
      </c>
      <c r="B39" t="s">
        <v>50</v>
      </c>
      <c r="C39" t="s">
        <v>10</v>
      </c>
      <c r="D39" t="s">
        <v>16</v>
      </c>
      <c r="E39" t="s">
        <v>12</v>
      </c>
      <c r="F39" t="s">
        <v>72</v>
      </c>
      <c r="G39">
        <v>2</v>
      </c>
      <c r="H39" s="1">
        <v>300</v>
      </c>
      <c r="I39" s="1">
        <v>600</v>
      </c>
      <c r="J39" s="1">
        <f t="shared" si="1"/>
        <v>600</v>
      </c>
      <c r="K39" t="b">
        <f>SalesData[[#This Row],[Check Sales]]=SalesData[[#This Row],[Total Sales]]</f>
        <v>1</v>
      </c>
    </row>
    <row r="40" spans="1:11" x14ac:dyDescent="0.3">
      <c r="A40">
        <v>1039</v>
      </c>
      <c r="B40" t="s">
        <v>68</v>
      </c>
      <c r="C40" t="s">
        <v>15</v>
      </c>
      <c r="D40" t="s">
        <v>19</v>
      </c>
      <c r="E40" t="s">
        <v>20</v>
      </c>
      <c r="F40" t="s">
        <v>67</v>
      </c>
      <c r="G40">
        <v>8</v>
      </c>
      <c r="H40" s="1">
        <v>350</v>
      </c>
      <c r="I40" s="1">
        <v>2800</v>
      </c>
      <c r="J40" s="1">
        <f t="shared" si="1"/>
        <v>2800</v>
      </c>
      <c r="K40" t="b">
        <f>SalesData[[#This Row],[Check Sales]]=SalesData[[#This Row],[Total Sales]]</f>
        <v>1</v>
      </c>
    </row>
    <row r="41" spans="1:11" x14ac:dyDescent="0.3">
      <c r="A41">
        <v>1040</v>
      </c>
      <c r="B41" t="s">
        <v>73</v>
      </c>
      <c r="C41" t="s">
        <v>25</v>
      </c>
      <c r="D41" t="s">
        <v>26</v>
      </c>
      <c r="E41" t="s">
        <v>12</v>
      </c>
      <c r="F41" t="s">
        <v>32</v>
      </c>
      <c r="G41">
        <v>2</v>
      </c>
      <c r="H41" s="1">
        <v>250</v>
      </c>
      <c r="I41" s="1">
        <v>500</v>
      </c>
      <c r="J41" s="1">
        <f t="shared" si="1"/>
        <v>500</v>
      </c>
      <c r="K41" t="b">
        <f>SalesData[[#This Row],[Check Sales]]=SalesData[[#This Row],[Total Sales]]</f>
        <v>1</v>
      </c>
    </row>
    <row r="42" spans="1:11" x14ac:dyDescent="0.3">
      <c r="A42">
        <v>1041</v>
      </c>
      <c r="B42" t="s">
        <v>74</v>
      </c>
      <c r="C42" t="s">
        <v>25</v>
      </c>
      <c r="D42" t="s">
        <v>48</v>
      </c>
      <c r="E42" t="s">
        <v>12</v>
      </c>
      <c r="F42" t="s">
        <v>75</v>
      </c>
      <c r="G42">
        <v>7</v>
      </c>
      <c r="H42" s="1">
        <v>600</v>
      </c>
      <c r="I42" s="1">
        <v>4200</v>
      </c>
      <c r="J42" s="1">
        <f t="shared" si="1"/>
        <v>4200</v>
      </c>
      <c r="K42" t="b">
        <f>SalesData[[#This Row],[Check Sales]]=SalesData[[#This Row],[Total Sales]]</f>
        <v>1</v>
      </c>
    </row>
    <row r="43" spans="1:11" x14ac:dyDescent="0.3">
      <c r="A43">
        <v>1042</v>
      </c>
      <c r="B43" t="s">
        <v>24</v>
      </c>
      <c r="C43" t="s">
        <v>10</v>
      </c>
      <c r="D43" t="s">
        <v>26</v>
      </c>
      <c r="E43" t="s">
        <v>12</v>
      </c>
      <c r="F43" t="s">
        <v>23</v>
      </c>
      <c r="G43">
        <v>5</v>
      </c>
      <c r="H43" s="1">
        <v>250</v>
      </c>
      <c r="I43" s="1">
        <v>1250</v>
      </c>
      <c r="J43" s="1">
        <f t="shared" si="1"/>
        <v>1250</v>
      </c>
      <c r="K43" t="b">
        <f>SalesData[[#This Row],[Check Sales]]=SalesData[[#This Row],[Total Sales]]</f>
        <v>1</v>
      </c>
    </row>
    <row r="44" spans="1:11" x14ac:dyDescent="0.3">
      <c r="A44">
        <v>1043</v>
      </c>
      <c r="B44" t="s">
        <v>39</v>
      </c>
      <c r="C44" t="s">
        <v>10</v>
      </c>
      <c r="D44" t="s">
        <v>26</v>
      </c>
      <c r="E44" t="s">
        <v>12</v>
      </c>
      <c r="F44" t="s">
        <v>72</v>
      </c>
      <c r="G44">
        <v>3</v>
      </c>
      <c r="H44" s="1">
        <v>250</v>
      </c>
      <c r="I44" s="1">
        <v>750</v>
      </c>
      <c r="J44" s="1">
        <f t="shared" si="1"/>
        <v>750</v>
      </c>
      <c r="K44" t="b">
        <f>SalesData[[#This Row],[Check Sales]]=SalesData[[#This Row],[Total Sales]]</f>
        <v>1</v>
      </c>
    </row>
    <row r="45" spans="1:11" x14ac:dyDescent="0.3">
      <c r="A45">
        <v>1044</v>
      </c>
      <c r="B45" t="s">
        <v>76</v>
      </c>
      <c r="C45" t="s">
        <v>29</v>
      </c>
      <c r="D45" t="s">
        <v>59</v>
      </c>
      <c r="E45" t="s">
        <v>12</v>
      </c>
      <c r="F45" t="s">
        <v>17</v>
      </c>
      <c r="G45">
        <v>2</v>
      </c>
      <c r="H45" s="1">
        <v>400</v>
      </c>
      <c r="I45" s="1">
        <v>800</v>
      </c>
      <c r="J45" s="1">
        <f t="shared" si="1"/>
        <v>800</v>
      </c>
      <c r="K45" t="b">
        <f>SalesData[[#This Row],[Check Sales]]=SalesData[[#This Row],[Total Sales]]</f>
        <v>1</v>
      </c>
    </row>
    <row r="46" spans="1:11" x14ac:dyDescent="0.3">
      <c r="A46">
        <v>1045</v>
      </c>
      <c r="B46" t="s">
        <v>69</v>
      </c>
      <c r="C46" t="s">
        <v>29</v>
      </c>
      <c r="D46" t="s">
        <v>11</v>
      </c>
      <c r="E46" t="s">
        <v>12</v>
      </c>
      <c r="F46" t="s">
        <v>42</v>
      </c>
      <c r="G46">
        <v>1</v>
      </c>
      <c r="H46" s="1">
        <v>900</v>
      </c>
      <c r="I46" s="1">
        <v>900</v>
      </c>
      <c r="J46" s="1">
        <f t="shared" si="1"/>
        <v>900</v>
      </c>
      <c r="K46" t="b">
        <f>SalesData[[#This Row],[Check Sales]]=SalesData[[#This Row],[Total Sales]]</f>
        <v>1</v>
      </c>
    </row>
    <row r="47" spans="1:11" x14ac:dyDescent="0.3">
      <c r="A47">
        <v>1046</v>
      </c>
      <c r="B47" t="s">
        <v>77</v>
      </c>
      <c r="C47" t="s">
        <v>15</v>
      </c>
      <c r="D47" t="s">
        <v>11</v>
      </c>
      <c r="E47" t="s">
        <v>12</v>
      </c>
      <c r="F47" t="s">
        <v>78</v>
      </c>
      <c r="G47">
        <v>6</v>
      </c>
      <c r="H47" s="1">
        <v>900</v>
      </c>
      <c r="I47" s="1">
        <v>5400</v>
      </c>
      <c r="J47" s="1">
        <f t="shared" si="1"/>
        <v>5400</v>
      </c>
      <c r="K47" t="b">
        <f>SalesData[[#This Row],[Check Sales]]=SalesData[[#This Row],[Total Sales]]</f>
        <v>1</v>
      </c>
    </row>
    <row r="48" spans="1:11" x14ac:dyDescent="0.3">
      <c r="A48">
        <v>1047</v>
      </c>
      <c r="B48" t="s">
        <v>79</v>
      </c>
      <c r="C48" t="s">
        <v>25</v>
      </c>
      <c r="D48" t="s">
        <v>19</v>
      </c>
      <c r="E48" t="s">
        <v>20</v>
      </c>
      <c r="F48" t="s">
        <v>46</v>
      </c>
      <c r="G48">
        <v>7</v>
      </c>
      <c r="H48" s="1">
        <v>350</v>
      </c>
      <c r="I48" s="1">
        <v>2450</v>
      </c>
      <c r="J48" s="1">
        <f t="shared" si="1"/>
        <v>2450</v>
      </c>
      <c r="K48" t="b">
        <f>SalesData[[#This Row],[Check Sales]]=SalesData[[#This Row],[Total Sales]]</f>
        <v>1</v>
      </c>
    </row>
    <row r="49" spans="1:11" x14ac:dyDescent="0.3">
      <c r="A49">
        <v>1048</v>
      </c>
      <c r="B49" t="s">
        <v>33</v>
      </c>
      <c r="C49" t="s">
        <v>25</v>
      </c>
      <c r="D49" t="s">
        <v>30</v>
      </c>
      <c r="E49" t="s">
        <v>20</v>
      </c>
      <c r="F49" t="s">
        <v>32</v>
      </c>
      <c r="G49">
        <v>3</v>
      </c>
      <c r="H49" s="1">
        <v>200</v>
      </c>
      <c r="I49" s="1">
        <v>600</v>
      </c>
      <c r="J49" s="1">
        <f t="shared" si="1"/>
        <v>600</v>
      </c>
      <c r="K49" t="b">
        <f>SalesData[[#This Row],[Check Sales]]=SalesData[[#This Row],[Total Sales]]</f>
        <v>1</v>
      </c>
    </row>
    <row r="50" spans="1:11" x14ac:dyDescent="0.3">
      <c r="A50">
        <v>1049</v>
      </c>
      <c r="B50" t="s">
        <v>80</v>
      </c>
      <c r="C50" t="s">
        <v>29</v>
      </c>
      <c r="D50" t="s">
        <v>16</v>
      </c>
      <c r="E50" t="s">
        <v>12</v>
      </c>
      <c r="F50" t="s">
        <v>78</v>
      </c>
      <c r="G50">
        <v>1</v>
      </c>
      <c r="H50" s="1">
        <v>300</v>
      </c>
      <c r="I50" s="1">
        <v>300</v>
      </c>
      <c r="J50" s="1">
        <f t="shared" si="1"/>
        <v>300</v>
      </c>
      <c r="K50" t="b">
        <f>SalesData[[#This Row],[Check Sales]]=SalesData[[#This Row],[Total Sales]]</f>
        <v>1</v>
      </c>
    </row>
    <row r="51" spans="1:11" x14ac:dyDescent="0.3">
      <c r="A51">
        <v>1050</v>
      </c>
      <c r="B51" t="s">
        <v>81</v>
      </c>
      <c r="C51" t="s">
        <v>10</v>
      </c>
      <c r="D51" t="s">
        <v>16</v>
      </c>
      <c r="E51" t="s">
        <v>12</v>
      </c>
      <c r="F51" t="s">
        <v>82</v>
      </c>
      <c r="G51">
        <v>8</v>
      </c>
      <c r="H51" s="1">
        <v>300</v>
      </c>
      <c r="I51" s="1">
        <v>2400</v>
      </c>
      <c r="J51" s="1">
        <f t="shared" si="1"/>
        <v>2400</v>
      </c>
      <c r="K51" t="b">
        <f>SalesData[[#This Row],[Check Sales]]=SalesData[[#This Row],[Total Sales]]</f>
        <v>1</v>
      </c>
    </row>
    <row r="52" spans="1:11" x14ac:dyDescent="0.3">
      <c r="A52">
        <v>1051</v>
      </c>
      <c r="B52" t="s">
        <v>39</v>
      </c>
      <c r="C52" t="s">
        <v>25</v>
      </c>
      <c r="D52" t="s">
        <v>48</v>
      </c>
      <c r="E52" t="s">
        <v>12</v>
      </c>
      <c r="F52" t="s">
        <v>78</v>
      </c>
      <c r="G52">
        <v>6</v>
      </c>
      <c r="H52" s="1">
        <v>600</v>
      </c>
      <c r="I52" s="1">
        <v>3600</v>
      </c>
      <c r="J52" s="1">
        <f t="shared" si="1"/>
        <v>3600</v>
      </c>
      <c r="K52" t="b">
        <f>SalesData[[#This Row],[Check Sales]]=SalesData[[#This Row],[Total Sales]]</f>
        <v>1</v>
      </c>
    </row>
    <row r="53" spans="1:11" x14ac:dyDescent="0.3">
      <c r="A53">
        <v>1052</v>
      </c>
      <c r="B53" t="s">
        <v>54</v>
      </c>
      <c r="C53" t="s">
        <v>29</v>
      </c>
      <c r="D53" t="s">
        <v>48</v>
      </c>
      <c r="E53" t="s">
        <v>12</v>
      </c>
      <c r="F53" t="s">
        <v>67</v>
      </c>
      <c r="G53">
        <v>8</v>
      </c>
      <c r="H53" s="1">
        <v>600</v>
      </c>
      <c r="I53" s="1">
        <v>4800</v>
      </c>
      <c r="J53" s="1">
        <f t="shared" si="1"/>
        <v>4800</v>
      </c>
      <c r="K53" t="b">
        <f>SalesData[[#This Row],[Check Sales]]=SalesData[[#This Row],[Total Sales]]</f>
        <v>1</v>
      </c>
    </row>
    <row r="54" spans="1:11" x14ac:dyDescent="0.3">
      <c r="A54">
        <v>1053</v>
      </c>
      <c r="B54" t="s">
        <v>83</v>
      </c>
      <c r="C54" t="s">
        <v>10</v>
      </c>
      <c r="D54" t="s">
        <v>35</v>
      </c>
      <c r="E54" t="s">
        <v>20</v>
      </c>
      <c r="F54" t="s">
        <v>56</v>
      </c>
      <c r="G54">
        <v>2</v>
      </c>
      <c r="H54" s="1">
        <v>120</v>
      </c>
      <c r="I54" s="1">
        <v>240</v>
      </c>
      <c r="J54" s="1">
        <f t="shared" si="1"/>
        <v>240</v>
      </c>
      <c r="K54" t="b">
        <f>SalesData[[#This Row],[Check Sales]]=SalesData[[#This Row],[Total Sales]]</f>
        <v>1</v>
      </c>
    </row>
    <row r="55" spans="1:11" x14ac:dyDescent="0.3">
      <c r="A55">
        <v>1054</v>
      </c>
      <c r="B55" t="s">
        <v>66</v>
      </c>
      <c r="C55" t="s">
        <v>29</v>
      </c>
      <c r="D55" t="s">
        <v>11</v>
      </c>
      <c r="E55" t="s">
        <v>12</v>
      </c>
      <c r="F55" t="s">
        <v>40</v>
      </c>
      <c r="G55">
        <v>2</v>
      </c>
      <c r="H55" s="1">
        <v>900</v>
      </c>
      <c r="I55" s="1">
        <v>1800</v>
      </c>
      <c r="J55" s="1">
        <f t="shared" si="1"/>
        <v>1800</v>
      </c>
      <c r="K55" t="b">
        <f>SalesData[[#This Row],[Check Sales]]=SalesData[[#This Row],[Total Sales]]</f>
        <v>1</v>
      </c>
    </row>
    <row r="56" spans="1:11" x14ac:dyDescent="0.3">
      <c r="A56">
        <v>1055</v>
      </c>
      <c r="B56" t="s">
        <v>84</v>
      </c>
      <c r="C56" t="s">
        <v>25</v>
      </c>
      <c r="D56" t="s">
        <v>16</v>
      </c>
      <c r="E56" t="s">
        <v>12</v>
      </c>
      <c r="F56" t="s">
        <v>49</v>
      </c>
      <c r="G56">
        <v>6</v>
      </c>
      <c r="H56" s="1">
        <v>300</v>
      </c>
      <c r="I56" s="1">
        <v>1800</v>
      </c>
      <c r="J56" s="1">
        <f t="shared" si="1"/>
        <v>1800</v>
      </c>
      <c r="K56" t="b">
        <f>SalesData[[#This Row],[Check Sales]]=SalesData[[#This Row],[Total Sales]]</f>
        <v>1</v>
      </c>
    </row>
    <row r="57" spans="1:11" x14ac:dyDescent="0.3">
      <c r="A57">
        <v>1056</v>
      </c>
      <c r="B57" t="s">
        <v>85</v>
      </c>
      <c r="C57" t="s">
        <v>10</v>
      </c>
      <c r="D57" t="s">
        <v>35</v>
      </c>
      <c r="E57" t="s">
        <v>20</v>
      </c>
      <c r="F57" t="s">
        <v>38</v>
      </c>
      <c r="G57">
        <v>6</v>
      </c>
      <c r="H57" s="1">
        <v>120</v>
      </c>
      <c r="I57" s="1">
        <v>720</v>
      </c>
      <c r="J57" s="1">
        <f t="shared" si="1"/>
        <v>720</v>
      </c>
      <c r="K57" t="b">
        <f>SalesData[[#This Row],[Check Sales]]=SalesData[[#This Row],[Total Sales]]</f>
        <v>1</v>
      </c>
    </row>
    <row r="58" spans="1:11" x14ac:dyDescent="0.3">
      <c r="A58">
        <v>1057</v>
      </c>
      <c r="B58" t="s">
        <v>80</v>
      </c>
      <c r="C58" t="s">
        <v>15</v>
      </c>
      <c r="D58" t="s">
        <v>48</v>
      </c>
      <c r="E58" t="s">
        <v>12</v>
      </c>
      <c r="F58" t="s">
        <v>21</v>
      </c>
      <c r="G58">
        <v>7</v>
      </c>
      <c r="H58" s="1">
        <v>600</v>
      </c>
      <c r="I58" s="1">
        <v>4200</v>
      </c>
      <c r="J58" s="1">
        <f t="shared" si="1"/>
        <v>4200</v>
      </c>
      <c r="K58" t="b">
        <f>SalesData[[#This Row],[Check Sales]]=SalesData[[#This Row],[Total Sales]]</f>
        <v>1</v>
      </c>
    </row>
    <row r="59" spans="1:11" x14ac:dyDescent="0.3">
      <c r="A59">
        <v>1058</v>
      </c>
      <c r="B59" t="s">
        <v>86</v>
      </c>
      <c r="C59" t="s">
        <v>29</v>
      </c>
      <c r="D59" t="s">
        <v>59</v>
      </c>
      <c r="E59" t="s">
        <v>12</v>
      </c>
      <c r="F59" t="s">
        <v>67</v>
      </c>
      <c r="G59">
        <v>7</v>
      </c>
      <c r="H59" s="1">
        <v>400</v>
      </c>
      <c r="I59" s="1">
        <v>2800</v>
      </c>
      <c r="J59" s="1">
        <f t="shared" si="1"/>
        <v>2800</v>
      </c>
      <c r="K59" t="b">
        <f>SalesData[[#This Row],[Check Sales]]=SalesData[[#This Row],[Total Sales]]</f>
        <v>1</v>
      </c>
    </row>
    <row r="60" spans="1:11" x14ac:dyDescent="0.3">
      <c r="A60">
        <v>1059</v>
      </c>
      <c r="B60" t="s">
        <v>87</v>
      </c>
      <c r="C60" t="s">
        <v>10</v>
      </c>
      <c r="D60" t="s">
        <v>19</v>
      </c>
      <c r="E60" t="s">
        <v>20</v>
      </c>
      <c r="F60" t="s">
        <v>21</v>
      </c>
      <c r="G60">
        <v>3</v>
      </c>
      <c r="H60" s="1">
        <v>350</v>
      </c>
      <c r="I60" s="1">
        <v>1050</v>
      </c>
      <c r="J60" s="1">
        <f t="shared" si="1"/>
        <v>1050</v>
      </c>
      <c r="K60" t="b">
        <f>SalesData[[#This Row],[Check Sales]]=SalesData[[#This Row],[Total Sales]]</f>
        <v>1</v>
      </c>
    </row>
    <row r="61" spans="1:11" x14ac:dyDescent="0.3">
      <c r="A61">
        <v>1060</v>
      </c>
      <c r="B61" t="s">
        <v>88</v>
      </c>
      <c r="C61" t="s">
        <v>25</v>
      </c>
      <c r="D61" t="s">
        <v>48</v>
      </c>
      <c r="E61" t="s">
        <v>12</v>
      </c>
      <c r="F61" t="s">
        <v>56</v>
      </c>
      <c r="G61">
        <v>4</v>
      </c>
      <c r="H61" s="1">
        <v>600</v>
      </c>
      <c r="I61" s="1">
        <v>2400</v>
      </c>
      <c r="J61" s="1">
        <f t="shared" si="1"/>
        <v>2400</v>
      </c>
      <c r="K61" t="b">
        <f>SalesData[[#This Row],[Check Sales]]=SalesData[[#This Row],[Total Sales]]</f>
        <v>1</v>
      </c>
    </row>
    <row r="62" spans="1:11" x14ac:dyDescent="0.3">
      <c r="A62">
        <v>1061</v>
      </c>
      <c r="B62" t="s">
        <v>61</v>
      </c>
      <c r="C62" t="s">
        <v>10</v>
      </c>
      <c r="D62" t="s">
        <v>35</v>
      </c>
      <c r="E62" t="s">
        <v>20</v>
      </c>
      <c r="F62" t="s">
        <v>32</v>
      </c>
      <c r="G62">
        <v>8</v>
      </c>
      <c r="H62" s="1">
        <v>120</v>
      </c>
      <c r="I62" s="1">
        <v>960</v>
      </c>
      <c r="J62" s="1">
        <f t="shared" si="1"/>
        <v>960</v>
      </c>
      <c r="K62" t="b">
        <f>SalesData[[#This Row],[Check Sales]]=SalesData[[#This Row],[Total Sales]]</f>
        <v>1</v>
      </c>
    </row>
    <row r="63" spans="1:11" x14ac:dyDescent="0.3">
      <c r="A63">
        <v>1062</v>
      </c>
      <c r="B63" t="s">
        <v>89</v>
      </c>
      <c r="C63" t="s">
        <v>25</v>
      </c>
      <c r="D63" t="s">
        <v>16</v>
      </c>
      <c r="E63" t="s">
        <v>12</v>
      </c>
      <c r="F63" t="s">
        <v>78</v>
      </c>
      <c r="G63">
        <v>2</v>
      </c>
      <c r="H63" s="1">
        <v>300</v>
      </c>
      <c r="I63" s="1">
        <v>600</v>
      </c>
      <c r="J63" s="1">
        <f t="shared" si="1"/>
        <v>600</v>
      </c>
      <c r="K63" t="b">
        <f>SalesData[[#This Row],[Check Sales]]=SalesData[[#This Row],[Total Sales]]</f>
        <v>1</v>
      </c>
    </row>
    <row r="64" spans="1:11" x14ac:dyDescent="0.3">
      <c r="A64">
        <v>1063</v>
      </c>
      <c r="B64" t="s">
        <v>14</v>
      </c>
      <c r="C64" t="s">
        <v>10</v>
      </c>
      <c r="D64" t="s">
        <v>19</v>
      </c>
      <c r="E64" t="s">
        <v>20</v>
      </c>
      <c r="F64" t="s">
        <v>38</v>
      </c>
      <c r="G64">
        <v>3</v>
      </c>
      <c r="H64" s="1">
        <v>350</v>
      </c>
      <c r="I64" s="1">
        <v>1050</v>
      </c>
      <c r="J64" s="1">
        <f t="shared" si="1"/>
        <v>1050</v>
      </c>
      <c r="K64" t="b">
        <f>SalesData[[#This Row],[Check Sales]]=SalesData[[#This Row],[Total Sales]]</f>
        <v>1</v>
      </c>
    </row>
    <row r="65" spans="1:11" x14ac:dyDescent="0.3">
      <c r="A65">
        <v>1064</v>
      </c>
      <c r="B65" t="s">
        <v>90</v>
      </c>
      <c r="C65" t="s">
        <v>10</v>
      </c>
      <c r="D65" t="s">
        <v>26</v>
      </c>
      <c r="E65" t="s">
        <v>12</v>
      </c>
      <c r="F65" t="s">
        <v>72</v>
      </c>
      <c r="G65">
        <v>2</v>
      </c>
      <c r="H65" s="1">
        <v>250</v>
      </c>
      <c r="I65" s="1">
        <v>500</v>
      </c>
      <c r="J65" s="1">
        <f t="shared" si="1"/>
        <v>500</v>
      </c>
      <c r="K65" t="b">
        <f>SalesData[[#This Row],[Check Sales]]=SalesData[[#This Row],[Total Sales]]</f>
        <v>1</v>
      </c>
    </row>
    <row r="66" spans="1:11" x14ac:dyDescent="0.3">
      <c r="A66">
        <v>1065</v>
      </c>
      <c r="B66" t="s">
        <v>91</v>
      </c>
      <c r="C66" t="s">
        <v>10</v>
      </c>
      <c r="D66" t="s">
        <v>59</v>
      </c>
      <c r="E66" t="s">
        <v>12</v>
      </c>
      <c r="F66" t="s">
        <v>72</v>
      </c>
      <c r="G66">
        <v>8</v>
      </c>
      <c r="H66" s="1">
        <v>400</v>
      </c>
      <c r="I66" s="1">
        <v>3200</v>
      </c>
      <c r="J66" s="1">
        <f t="shared" ref="J66:J97" si="2">G66*H66</f>
        <v>3200</v>
      </c>
      <c r="K66" t="b">
        <f>SalesData[[#This Row],[Check Sales]]=SalesData[[#This Row],[Total Sales]]</f>
        <v>1</v>
      </c>
    </row>
    <row r="67" spans="1:11" x14ac:dyDescent="0.3">
      <c r="A67">
        <v>1066</v>
      </c>
      <c r="B67" t="s">
        <v>92</v>
      </c>
      <c r="C67" t="s">
        <v>25</v>
      </c>
      <c r="D67" t="s">
        <v>16</v>
      </c>
      <c r="E67" t="s">
        <v>12</v>
      </c>
      <c r="F67" t="s">
        <v>13</v>
      </c>
      <c r="G67">
        <v>4</v>
      </c>
      <c r="H67" s="1">
        <v>300</v>
      </c>
      <c r="I67" s="1">
        <v>1200</v>
      </c>
      <c r="J67" s="1">
        <f t="shared" si="2"/>
        <v>1200</v>
      </c>
      <c r="K67" t="b">
        <f>SalesData[[#This Row],[Check Sales]]=SalesData[[#This Row],[Total Sales]]</f>
        <v>1</v>
      </c>
    </row>
    <row r="68" spans="1:11" x14ac:dyDescent="0.3">
      <c r="A68">
        <v>1067</v>
      </c>
      <c r="B68" t="s">
        <v>93</v>
      </c>
      <c r="C68" t="s">
        <v>29</v>
      </c>
      <c r="D68" t="s">
        <v>59</v>
      </c>
      <c r="E68" t="s">
        <v>12</v>
      </c>
      <c r="F68" t="s">
        <v>13</v>
      </c>
      <c r="G68">
        <v>8</v>
      </c>
      <c r="H68" s="1">
        <v>400</v>
      </c>
      <c r="I68" s="1">
        <v>3200</v>
      </c>
      <c r="J68" s="1">
        <f t="shared" si="2"/>
        <v>3200</v>
      </c>
      <c r="K68" t="b">
        <f>SalesData[[#This Row],[Check Sales]]=SalesData[[#This Row],[Total Sales]]</f>
        <v>1</v>
      </c>
    </row>
    <row r="69" spans="1:11" x14ac:dyDescent="0.3">
      <c r="A69">
        <v>1068</v>
      </c>
      <c r="B69" t="s">
        <v>94</v>
      </c>
      <c r="C69" t="s">
        <v>29</v>
      </c>
      <c r="D69" t="s">
        <v>59</v>
      </c>
      <c r="E69" t="s">
        <v>12</v>
      </c>
      <c r="F69" t="s">
        <v>13</v>
      </c>
      <c r="G69">
        <v>4</v>
      </c>
      <c r="H69" s="1">
        <v>400</v>
      </c>
      <c r="I69" s="1">
        <v>1600</v>
      </c>
      <c r="J69" s="1">
        <f t="shared" si="2"/>
        <v>1600</v>
      </c>
      <c r="K69" t="b">
        <f>SalesData[[#This Row],[Check Sales]]=SalesData[[#This Row],[Total Sales]]</f>
        <v>1</v>
      </c>
    </row>
    <row r="70" spans="1:11" x14ac:dyDescent="0.3">
      <c r="A70">
        <v>1069</v>
      </c>
      <c r="B70" t="s">
        <v>50</v>
      </c>
      <c r="C70" t="s">
        <v>29</v>
      </c>
      <c r="D70" t="s">
        <v>16</v>
      </c>
      <c r="E70" t="s">
        <v>12</v>
      </c>
      <c r="F70" t="s">
        <v>75</v>
      </c>
      <c r="G70">
        <v>1</v>
      </c>
      <c r="H70" s="1">
        <v>300</v>
      </c>
      <c r="I70" s="1">
        <v>300</v>
      </c>
      <c r="J70" s="1">
        <f t="shared" si="2"/>
        <v>300</v>
      </c>
      <c r="K70" t="b">
        <f>SalesData[[#This Row],[Check Sales]]=SalesData[[#This Row],[Total Sales]]</f>
        <v>1</v>
      </c>
    </row>
    <row r="71" spans="1:11" x14ac:dyDescent="0.3">
      <c r="A71">
        <v>1070</v>
      </c>
      <c r="B71" t="s">
        <v>39</v>
      </c>
      <c r="C71" t="s">
        <v>25</v>
      </c>
      <c r="D71" t="s">
        <v>26</v>
      </c>
      <c r="E71" t="s">
        <v>12</v>
      </c>
      <c r="F71" t="s">
        <v>17</v>
      </c>
      <c r="G71">
        <v>1</v>
      </c>
      <c r="H71" s="1">
        <v>250</v>
      </c>
      <c r="I71" s="1">
        <v>250</v>
      </c>
      <c r="J71" s="1">
        <f t="shared" si="2"/>
        <v>250</v>
      </c>
      <c r="K71" t="b">
        <f>SalesData[[#This Row],[Check Sales]]=SalesData[[#This Row],[Total Sales]]</f>
        <v>1</v>
      </c>
    </row>
    <row r="72" spans="1:11" x14ac:dyDescent="0.3">
      <c r="A72">
        <v>1071</v>
      </c>
      <c r="B72" t="s">
        <v>95</v>
      </c>
      <c r="C72" t="s">
        <v>10</v>
      </c>
      <c r="D72" t="s">
        <v>16</v>
      </c>
      <c r="E72" t="s">
        <v>12</v>
      </c>
      <c r="F72" t="s">
        <v>72</v>
      </c>
      <c r="G72">
        <v>3</v>
      </c>
      <c r="H72" s="1">
        <v>300</v>
      </c>
      <c r="I72" s="1">
        <v>900</v>
      </c>
      <c r="J72" s="1">
        <f t="shared" si="2"/>
        <v>900</v>
      </c>
      <c r="K72" t="b">
        <f>SalesData[[#This Row],[Check Sales]]=SalesData[[#This Row],[Total Sales]]</f>
        <v>1</v>
      </c>
    </row>
    <row r="73" spans="1:11" x14ac:dyDescent="0.3">
      <c r="A73">
        <v>1072</v>
      </c>
      <c r="B73" t="s">
        <v>51</v>
      </c>
      <c r="C73" t="s">
        <v>29</v>
      </c>
      <c r="D73" t="s">
        <v>35</v>
      </c>
      <c r="E73" t="s">
        <v>20</v>
      </c>
      <c r="F73" t="s">
        <v>13</v>
      </c>
      <c r="G73">
        <v>2</v>
      </c>
      <c r="H73" s="1">
        <v>120</v>
      </c>
      <c r="I73" s="1">
        <v>240</v>
      </c>
      <c r="J73" s="1">
        <f t="shared" si="2"/>
        <v>240</v>
      </c>
      <c r="K73" t="b">
        <f>SalesData[[#This Row],[Check Sales]]=SalesData[[#This Row],[Total Sales]]</f>
        <v>1</v>
      </c>
    </row>
    <row r="74" spans="1:11" x14ac:dyDescent="0.3">
      <c r="A74">
        <v>1073</v>
      </c>
      <c r="B74" t="s">
        <v>96</v>
      </c>
      <c r="C74" t="s">
        <v>15</v>
      </c>
      <c r="D74" t="s">
        <v>48</v>
      </c>
      <c r="E74" t="s">
        <v>12</v>
      </c>
      <c r="F74" t="s">
        <v>72</v>
      </c>
      <c r="G74">
        <v>4</v>
      </c>
      <c r="H74" s="1">
        <v>600</v>
      </c>
      <c r="I74" s="1">
        <v>2400</v>
      </c>
      <c r="J74" s="1">
        <f t="shared" si="2"/>
        <v>2400</v>
      </c>
      <c r="K74" t="b">
        <f>SalesData[[#This Row],[Check Sales]]=SalesData[[#This Row],[Total Sales]]</f>
        <v>1</v>
      </c>
    </row>
    <row r="75" spans="1:11" x14ac:dyDescent="0.3">
      <c r="A75">
        <v>1074</v>
      </c>
      <c r="B75" t="s">
        <v>97</v>
      </c>
      <c r="C75" t="s">
        <v>10</v>
      </c>
      <c r="D75" t="s">
        <v>30</v>
      </c>
      <c r="E75" t="s">
        <v>20</v>
      </c>
      <c r="F75" t="s">
        <v>49</v>
      </c>
      <c r="G75">
        <v>8</v>
      </c>
      <c r="H75" s="1">
        <v>200</v>
      </c>
      <c r="I75" s="1">
        <v>1600</v>
      </c>
      <c r="J75" s="1">
        <f t="shared" si="2"/>
        <v>1600</v>
      </c>
      <c r="K75" t="b">
        <f>SalesData[[#This Row],[Check Sales]]=SalesData[[#This Row],[Total Sales]]</f>
        <v>1</v>
      </c>
    </row>
    <row r="76" spans="1:11" x14ac:dyDescent="0.3">
      <c r="A76">
        <v>1075</v>
      </c>
      <c r="B76" t="s">
        <v>61</v>
      </c>
      <c r="C76" t="s">
        <v>10</v>
      </c>
      <c r="D76" t="s">
        <v>26</v>
      </c>
      <c r="E76" t="s">
        <v>12</v>
      </c>
      <c r="F76" t="s">
        <v>67</v>
      </c>
      <c r="G76">
        <v>5</v>
      </c>
      <c r="H76" s="1">
        <v>250</v>
      </c>
      <c r="I76" s="1">
        <v>1250</v>
      </c>
      <c r="J76" s="1">
        <f t="shared" si="2"/>
        <v>1250</v>
      </c>
      <c r="K76" t="b">
        <f>SalesData[[#This Row],[Check Sales]]=SalesData[[#This Row],[Total Sales]]</f>
        <v>1</v>
      </c>
    </row>
    <row r="77" spans="1:11" x14ac:dyDescent="0.3">
      <c r="A77">
        <v>1076</v>
      </c>
      <c r="B77" t="s">
        <v>98</v>
      </c>
      <c r="C77" t="s">
        <v>10</v>
      </c>
      <c r="D77" t="s">
        <v>11</v>
      </c>
      <c r="E77" t="s">
        <v>12</v>
      </c>
      <c r="F77" t="s">
        <v>32</v>
      </c>
      <c r="G77">
        <v>3</v>
      </c>
      <c r="H77" s="1">
        <v>900</v>
      </c>
      <c r="I77" s="1">
        <v>2700</v>
      </c>
      <c r="J77" s="1">
        <f t="shared" si="2"/>
        <v>2700</v>
      </c>
      <c r="K77" t="b">
        <f>SalesData[[#This Row],[Check Sales]]=SalesData[[#This Row],[Total Sales]]</f>
        <v>1</v>
      </c>
    </row>
    <row r="78" spans="1:11" x14ac:dyDescent="0.3">
      <c r="A78">
        <v>1077</v>
      </c>
      <c r="B78" t="s">
        <v>99</v>
      </c>
      <c r="C78" t="s">
        <v>29</v>
      </c>
      <c r="D78" t="s">
        <v>35</v>
      </c>
      <c r="E78" t="s">
        <v>20</v>
      </c>
      <c r="F78" t="s">
        <v>56</v>
      </c>
      <c r="G78">
        <v>8</v>
      </c>
      <c r="H78" s="1">
        <v>120</v>
      </c>
      <c r="I78" s="1">
        <v>960</v>
      </c>
      <c r="J78" s="1">
        <f t="shared" si="2"/>
        <v>960</v>
      </c>
      <c r="K78" t="b">
        <f>SalesData[[#This Row],[Check Sales]]=SalesData[[#This Row],[Total Sales]]</f>
        <v>1</v>
      </c>
    </row>
    <row r="79" spans="1:11" x14ac:dyDescent="0.3">
      <c r="A79">
        <v>1078</v>
      </c>
      <c r="B79" t="s">
        <v>100</v>
      </c>
      <c r="C79" t="s">
        <v>29</v>
      </c>
      <c r="D79" t="s">
        <v>19</v>
      </c>
      <c r="E79" t="s">
        <v>20</v>
      </c>
      <c r="F79" t="s">
        <v>17</v>
      </c>
      <c r="G79">
        <v>8</v>
      </c>
      <c r="H79" s="1">
        <v>350</v>
      </c>
      <c r="I79" s="1">
        <v>2800</v>
      </c>
      <c r="J79" s="1">
        <f t="shared" si="2"/>
        <v>2800</v>
      </c>
      <c r="K79" t="b">
        <f>SalesData[[#This Row],[Check Sales]]=SalesData[[#This Row],[Total Sales]]</f>
        <v>1</v>
      </c>
    </row>
    <row r="80" spans="1:11" x14ac:dyDescent="0.3">
      <c r="A80">
        <v>1079</v>
      </c>
      <c r="B80" t="s">
        <v>101</v>
      </c>
      <c r="C80" t="s">
        <v>29</v>
      </c>
      <c r="D80" t="s">
        <v>19</v>
      </c>
      <c r="E80" t="s">
        <v>20</v>
      </c>
      <c r="F80" t="s">
        <v>72</v>
      </c>
      <c r="G80">
        <v>3</v>
      </c>
      <c r="H80" s="1">
        <v>350</v>
      </c>
      <c r="I80" s="1">
        <v>1050</v>
      </c>
      <c r="J80" s="1">
        <f t="shared" si="2"/>
        <v>1050</v>
      </c>
      <c r="K80" t="b">
        <f>SalesData[[#This Row],[Check Sales]]=SalesData[[#This Row],[Total Sales]]</f>
        <v>1</v>
      </c>
    </row>
    <row r="81" spans="1:11" x14ac:dyDescent="0.3">
      <c r="A81">
        <v>1080</v>
      </c>
      <c r="B81" t="s">
        <v>102</v>
      </c>
      <c r="C81" t="s">
        <v>25</v>
      </c>
      <c r="D81" t="s">
        <v>11</v>
      </c>
      <c r="E81" t="s">
        <v>12</v>
      </c>
      <c r="F81" t="s">
        <v>23</v>
      </c>
      <c r="G81">
        <v>2</v>
      </c>
      <c r="H81" s="1">
        <v>900</v>
      </c>
      <c r="I81" s="1">
        <v>1800</v>
      </c>
      <c r="J81" s="1">
        <f t="shared" si="2"/>
        <v>1800</v>
      </c>
      <c r="K81" t="b">
        <f>SalesData[[#This Row],[Check Sales]]=SalesData[[#This Row],[Total Sales]]</f>
        <v>1</v>
      </c>
    </row>
    <row r="82" spans="1:11" x14ac:dyDescent="0.3">
      <c r="A82">
        <v>1081</v>
      </c>
      <c r="B82" t="s">
        <v>101</v>
      </c>
      <c r="C82" t="s">
        <v>29</v>
      </c>
      <c r="D82" t="s">
        <v>35</v>
      </c>
      <c r="E82" t="s">
        <v>20</v>
      </c>
      <c r="F82" t="s">
        <v>53</v>
      </c>
      <c r="G82">
        <v>6</v>
      </c>
      <c r="H82" s="1">
        <v>120</v>
      </c>
      <c r="I82" s="1">
        <v>720</v>
      </c>
      <c r="J82" s="1">
        <f t="shared" si="2"/>
        <v>720</v>
      </c>
      <c r="K82" t="b">
        <f>SalesData[[#This Row],[Check Sales]]=SalesData[[#This Row],[Total Sales]]</f>
        <v>1</v>
      </c>
    </row>
    <row r="83" spans="1:11" x14ac:dyDescent="0.3">
      <c r="A83">
        <v>1082</v>
      </c>
      <c r="B83" t="s">
        <v>103</v>
      </c>
      <c r="C83" t="s">
        <v>25</v>
      </c>
      <c r="D83" t="s">
        <v>59</v>
      </c>
      <c r="E83" t="s">
        <v>12</v>
      </c>
      <c r="F83" t="s">
        <v>67</v>
      </c>
      <c r="G83">
        <v>8</v>
      </c>
      <c r="H83" s="1">
        <v>400</v>
      </c>
      <c r="I83" s="1">
        <v>3200</v>
      </c>
      <c r="J83" s="1">
        <f t="shared" si="2"/>
        <v>3200</v>
      </c>
      <c r="K83" t="b">
        <f>SalesData[[#This Row],[Check Sales]]=SalesData[[#This Row],[Total Sales]]</f>
        <v>1</v>
      </c>
    </row>
    <row r="84" spans="1:11" x14ac:dyDescent="0.3">
      <c r="A84">
        <v>1083</v>
      </c>
      <c r="B84" t="s">
        <v>104</v>
      </c>
      <c r="C84" t="s">
        <v>25</v>
      </c>
      <c r="D84" t="s">
        <v>16</v>
      </c>
      <c r="E84" t="s">
        <v>12</v>
      </c>
      <c r="F84" t="s">
        <v>72</v>
      </c>
      <c r="G84">
        <v>4</v>
      </c>
      <c r="H84" s="1">
        <v>300</v>
      </c>
      <c r="I84" s="1">
        <v>1200</v>
      </c>
      <c r="J84" s="1">
        <f t="shared" si="2"/>
        <v>1200</v>
      </c>
      <c r="K84" t="b">
        <f>SalesData[[#This Row],[Check Sales]]=SalesData[[#This Row],[Total Sales]]</f>
        <v>1</v>
      </c>
    </row>
    <row r="85" spans="1:11" x14ac:dyDescent="0.3">
      <c r="A85">
        <v>1084</v>
      </c>
      <c r="B85" t="s">
        <v>105</v>
      </c>
      <c r="C85" t="s">
        <v>29</v>
      </c>
      <c r="D85" t="s">
        <v>26</v>
      </c>
      <c r="E85" t="s">
        <v>12</v>
      </c>
      <c r="F85" t="s">
        <v>46</v>
      </c>
      <c r="G85">
        <v>4</v>
      </c>
      <c r="H85" s="1">
        <v>250</v>
      </c>
      <c r="I85" s="1">
        <v>1000</v>
      </c>
      <c r="J85" s="1">
        <f t="shared" si="2"/>
        <v>1000</v>
      </c>
      <c r="K85" t="b">
        <f>SalesData[[#This Row],[Check Sales]]=SalesData[[#This Row],[Total Sales]]</f>
        <v>1</v>
      </c>
    </row>
    <row r="86" spans="1:11" x14ac:dyDescent="0.3">
      <c r="A86">
        <v>1085</v>
      </c>
      <c r="B86" t="s">
        <v>106</v>
      </c>
      <c r="C86" t="s">
        <v>29</v>
      </c>
      <c r="D86" t="s">
        <v>30</v>
      </c>
      <c r="E86" t="s">
        <v>20</v>
      </c>
      <c r="F86" t="s">
        <v>49</v>
      </c>
      <c r="G86">
        <v>6</v>
      </c>
      <c r="H86" s="1">
        <v>200</v>
      </c>
      <c r="I86" s="1">
        <v>1200</v>
      </c>
      <c r="J86" s="1">
        <f t="shared" si="2"/>
        <v>1200</v>
      </c>
      <c r="K86" t="b">
        <f>SalesData[[#This Row],[Check Sales]]=SalesData[[#This Row],[Total Sales]]</f>
        <v>1</v>
      </c>
    </row>
    <row r="87" spans="1:11" x14ac:dyDescent="0.3">
      <c r="A87">
        <v>1086</v>
      </c>
      <c r="B87" t="s">
        <v>68</v>
      </c>
      <c r="C87" t="s">
        <v>10</v>
      </c>
      <c r="D87" t="s">
        <v>59</v>
      </c>
      <c r="E87" t="s">
        <v>12</v>
      </c>
      <c r="F87" t="s">
        <v>21</v>
      </c>
      <c r="G87">
        <v>3</v>
      </c>
      <c r="H87" s="1">
        <v>400</v>
      </c>
      <c r="I87" s="1">
        <v>1200</v>
      </c>
      <c r="J87" s="1">
        <f t="shared" si="2"/>
        <v>1200</v>
      </c>
      <c r="K87" t="b">
        <f>SalesData[[#This Row],[Check Sales]]=SalesData[[#This Row],[Total Sales]]</f>
        <v>1</v>
      </c>
    </row>
    <row r="88" spans="1:11" x14ac:dyDescent="0.3">
      <c r="A88">
        <v>1087</v>
      </c>
      <c r="B88" t="s">
        <v>107</v>
      </c>
      <c r="C88" t="s">
        <v>15</v>
      </c>
      <c r="D88" t="s">
        <v>19</v>
      </c>
      <c r="E88" t="s">
        <v>20</v>
      </c>
      <c r="F88" t="s">
        <v>53</v>
      </c>
      <c r="G88">
        <v>3</v>
      </c>
      <c r="H88" s="1">
        <v>350</v>
      </c>
      <c r="I88" s="1">
        <v>1050</v>
      </c>
      <c r="J88" s="1">
        <f t="shared" si="2"/>
        <v>1050</v>
      </c>
      <c r="K88" t="b">
        <f>SalesData[[#This Row],[Check Sales]]=SalesData[[#This Row],[Total Sales]]</f>
        <v>1</v>
      </c>
    </row>
    <row r="89" spans="1:11" x14ac:dyDescent="0.3">
      <c r="A89">
        <v>1088</v>
      </c>
      <c r="B89" t="s">
        <v>96</v>
      </c>
      <c r="C89" t="s">
        <v>25</v>
      </c>
      <c r="D89" t="s">
        <v>19</v>
      </c>
      <c r="E89" t="s">
        <v>20</v>
      </c>
      <c r="F89" t="s">
        <v>78</v>
      </c>
      <c r="G89">
        <v>8</v>
      </c>
      <c r="H89" s="1">
        <v>350</v>
      </c>
      <c r="I89" s="1">
        <v>2800</v>
      </c>
      <c r="J89" s="1">
        <f t="shared" si="2"/>
        <v>2800</v>
      </c>
      <c r="K89" t="b">
        <f>SalesData[[#This Row],[Check Sales]]=SalesData[[#This Row],[Total Sales]]</f>
        <v>1</v>
      </c>
    </row>
    <row r="90" spans="1:11" x14ac:dyDescent="0.3">
      <c r="A90">
        <v>1089</v>
      </c>
      <c r="B90" t="s">
        <v>96</v>
      </c>
      <c r="C90" t="s">
        <v>10</v>
      </c>
      <c r="D90" t="s">
        <v>35</v>
      </c>
      <c r="E90" t="s">
        <v>20</v>
      </c>
      <c r="F90" t="s">
        <v>42</v>
      </c>
      <c r="G90">
        <v>1</v>
      </c>
      <c r="H90" s="1">
        <v>120</v>
      </c>
      <c r="I90" s="1">
        <v>120</v>
      </c>
      <c r="J90" s="1">
        <f t="shared" si="2"/>
        <v>120</v>
      </c>
      <c r="K90" t="b">
        <f>SalesData[[#This Row],[Check Sales]]=SalesData[[#This Row],[Total Sales]]</f>
        <v>1</v>
      </c>
    </row>
    <row r="91" spans="1:11" x14ac:dyDescent="0.3">
      <c r="A91">
        <v>1090</v>
      </c>
      <c r="B91" t="s">
        <v>108</v>
      </c>
      <c r="C91" t="s">
        <v>15</v>
      </c>
      <c r="D91" t="s">
        <v>35</v>
      </c>
      <c r="E91" t="s">
        <v>20</v>
      </c>
      <c r="F91" t="s">
        <v>67</v>
      </c>
      <c r="G91">
        <v>1</v>
      </c>
      <c r="H91" s="1">
        <v>120</v>
      </c>
      <c r="I91" s="1">
        <v>120</v>
      </c>
      <c r="J91" s="1">
        <f t="shared" si="2"/>
        <v>120</v>
      </c>
      <c r="K91" t="b">
        <f>SalesData[[#This Row],[Check Sales]]=SalesData[[#This Row],[Total Sales]]</f>
        <v>1</v>
      </c>
    </row>
    <row r="92" spans="1:11" x14ac:dyDescent="0.3">
      <c r="A92">
        <v>1091</v>
      </c>
      <c r="B92" t="s">
        <v>109</v>
      </c>
      <c r="C92" t="s">
        <v>15</v>
      </c>
      <c r="D92" t="s">
        <v>26</v>
      </c>
      <c r="E92" t="s">
        <v>12</v>
      </c>
      <c r="F92" t="s">
        <v>17</v>
      </c>
      <c r="G92">
        <v>1</v>
      </c>
      <c r="H92" s="1">
        <v>250</v>
      </c>
      <c r="I92" s="1">
        <v>250</v>
      </c>
      <c r="J92" s="1">
        <f t="shared" si="2"/>
        <v>250</v>
      </c>
      <c r="K92" t="b">
        <f>SalesData[[#This Row],[Check Sales]]=SalesData[[#This Row],[Total Sales]]</f>
        <v>1</v>
      </c>
    </row>
    <row r="93" spans="1:11" x14ac:dyDescent="0.3">
      <c r="A93">
        <v>1092</v>
      </c>
      <c r="B93" t="s">
        <v>66</v>
      </c>
      <c r="C93" t="s">
        <v>25</v>
      </c>
      <c r="D93" t="s">
        <v>48</v>
      </c>
      <c r="E93" t="s">
        <v>12</v>
      </c>
      <c r="F93" t="s">
        <v>46</v>
      </c>
      <c r="G93">
        <v>5</v>
      </c>
      <c r="H93" s="1">
        <v>600</v>
      </c>
      <c r="I93" s="1">
        <v>3000</v>
      </c>
      <c r="J93" s="1">
        <f t="shared" si="2"/>
        <v>3000</v>
      </c>
      <c r="K93" t="b">
        <f>SalesData[[#This Row],[Check Sales]]=SalesData[[#This Row],[Total Sales]]</f>
        <v>1</v>
      </c>
    </row>
    <row r="94" spans="1:11" x14ac:dyDescent="0.3">
      <c r="A94">
        <v>1093</v>
      </c>
      <c r="B94" t="s">
        <v>110</v>
      </c>
      <c r="C94" t="s">
        <v>10</v>
      </c>
      <c r="D94" t="s">
        <v>30</v>
      </c>
      <c r="E94" t="s">
        <v>20</v>
      </c>
      <c r="F94" t="s">
        <v>27</v>
      </c>
      <c r="G94">
        <v>8</v>
      </c>
      <c r="H94" s="1">
        <v>200</v>
      </c>
      <c r="I94" s="1">
        <v>1600</v>
      </c>
      <c r="J94" s="1">
        <f t="shared" si="2"/>
        <v>1600</v>
      </c>
      <c r="K94" t="b">
        <f>SalesData[[#This Row],[Check Sales]]=SalesData[[#This Row],[Total Sales]]</f>
        <v>1</v>
      </c>
    </row>
    <row r="95" spans="1:11" x14ac:dyDescent="0.3">
      <c r="A95">
        <v>1094</v>
      </c>
      <c r="B95" t="s">
        <v>111</v>
      </c>
      <c r="C95" t="s">
        <v>10</v>
      </c>
      <c r="D95" t="s">
        <v>11</v>
      </c>
      <c r="E95" t="s">
        <v>12</v>
      </c>
      <c r="F95" t="s">
        <v>67</v>
      </c>
      <c r="G95">
        <v>3</v>
      </c>
      <c r="H95" s="1">
        <v>900</v>
      </c>
      <c r="I95" s="1">
        <v>2700</v>
      </c>
      <c r="J95" s="1">
        <f t="shared" si="2"/>
        <v>2700</v>
      </c>
      <c r="K95" t="b">
        <f>SalesData[[#This Row],[Check Sales]]=SalesData[[#This Row],[Total Sales]]</f>
        <v>1</v>
      </c>
    </row>
    <row r="96" spans="1:11" x14ac:dyDescent="0.3">
      <c r="A96">
        <v>1095</v>
      </c>
      <c r="B96" t="s">
        <v>93</v>
      </c>
      <c r="C96" t="s">
        <v>29</v>
      </c>
      <c r="D96" t="s">
        <v>19</v>
      </c>
      <c r="E96" t="s">
        <v>20</v>
      </c>
      <c r="F96" t="s">
        <v>44</v>
      </c>
      <c r="G96">
        <v>7</v>
      </c>
      <c r="H96" s="1">
        <v>350</v>
      </c>
      <c r="I96" s="1">
        <v>2450</v>
      </c>
      <c r="J96" s="1">
        <f t="shared" si="2"/>
        <v>2450</v>
      </c>
      <c r="K96" t="b">
        <f>SalesData[[#This Row],[Check Sales]]=SalesData[[#This Row],[Total Sales]]</f>
        <v>1</v>
      </c>
    </row>
    <row r="97" spans="1:11" x14ac:dyDescent="0.3">
      <c r="A97">
        <v>1096</v>
      </c>
      <c r="B97" t="s">
        <v>110</v>
      </c>
      <c r="C97" t="s">
        <v>10</v>
      </c>
      <c r="D97" t="s">
        <v>30</v>
      </c>
      <c r="E97" t="s">
        <v>20</v>
      </c>
      <c r="F97" t="s">
        <v>44</v>
      </c>
      <c r="G97">
        <v>3</v>
      </c>
      <c r="H97" s="1">
        <v>200</v>
      </c>
      <c r="I97" s="1">
        <v>600</v>
      </c>
      <c r="J97" s="1">
        <f t="shared" si="2"/>
        <v>600</v>
      </c>
      <c r="K97" t="b">
        <f>SalesData[[#This Row],[Check Sales]]=SalesData[[#This Row],[Total Sales]]</f>
        <v>1</v>
      </c>
    </row>
    <row r="98" spans="1:11" x14ac:dyDescent="0.3">
      <c r="A98">
        <v>1097</v>
      </c>
      <c r="B98" t="s">
        <v>88</v>
      </c>
      <c r="C98" t="s">
        <v>29</v>
      </c>
      <c r="D98" t="s">
        <v>35</v>
      </c>
      <c r="E98" t="s">
        <v>20</v>
      </c>
      <c r="F98" t="s">
        <v>64</v>
      </c>
      <c r="G98">
        <v>4</v>
      </c>
      <c r="H98" s="1">
        <v>120</v>
      </c>
      <c r="I98" s="1">
        <v>480</v>
      </c>
      <c r="J98" s="1">
        <f t="shared" ref="J98:J121" si="3">G98*H98</f>
        <v>480</v>
      </c>
      <c r="K98" t="b">
        <f>SalesData[[#This Row],[Check Sales]]=SalesData[[#This Row],[Total Sales]]</f>
        <v>1</v>
      </c>
    </row>
    <row r="99" spans="1:11" x14ac:dyDescent="0.3">
      <c r="A99">
        <v>1098</v>
      </c>
      <c r="B99" t="s">
        <v>112</v>
      </c>
      <c r="C99" t="s">
        <v>10</v>
      </c>
      <c r="D99" t="s">
        <v>11</v>
      </c>
      <c r="E99" t="s">
        <v>12</v>
      </c>
      <c r="F99" t="s">
        <v>75</v>
      </c>
      <c r="G99">
        <v>3</v>
      </c>
      <c r="H99" s="1">
        <v>900</v>
      </c>
      <c r="I99" s="1">
        <v>2700</v>
      </c>
      <c r="J99" s="1">
        <f t="shared" si="3"/>
        <v>2700</v>
      </c>
      <c r="K99" t="b">
        <f>SalesData[[#This Row],[Check Sales]]=SalesData[[#This Row],[Total Sales]]</f>
        <v>1</v>
      </c>
    </row>
    <row r="100" spans="1:11" x14ac:dyDescent="0.3">
      <c r="A100">
        <v>1099</v>
      </c>
      <c r="B100" t="s">
        <v>113</v>
      </c>
      <c r="C100" t="s">
        <v>25</v>
      </c>
      <c r="D100" t="s">
        <v>11</v>
      </c>
      <c r="E100" t="s">
        <v>12</v>
      </c>
      <c r="F100" t="s">
        <v>67</v>
      </c>
      <c r="G100">
        <v>2</v>
      </c>
      <c r="H100" s="1">
        <v>900</v>
      </c>
      <c r="I100" s="1">
        <v>1800</v>
      </c>
      <c r="J100" s="1">
        <f t="shared" si="3"/>
        <v>1800</v>
      </c>
      <c r="K100" t="b">
        <f>SalesData[[#This Row],[Check Sales]]=SalesData[[#This Row],[Total Sales]]</f>
        <v>1</v>
      </c>
    </row>
    <row r="101" spans="1:11" x14ac:dyDescent="0.3">
      <c r="A101">
        <v>1100</v>
      </c>
      <c r="B101" t="s">
        <v>55</v>
      </c>
      <c r="C101" t="s">
        <v>10</v>
      </c>
      <c r="D101" t="s">
        <v>35</v>
      </c>
      <c r="E101" t="s">
        <v>20</v>
      </c>
      <c r="F101" t="s">
        <v>40</v>
      </c>
      <c r="G101">
        <v>8</v>
      </c>
      <c r="H101" s="1">
        <v>120</v>
      </c>
      <c r="I101" s="1">
        <v>960</v>
      </c>
      <c r="J101" s="1">
        <f t="shared" si="3"/>
        <v>960</v>
      </c>
      <c r="K101" t="b">
        <f>SalesData[[#This Row],[Check Sales]]=SalesData[[#This Row],[Total Sales]]</f>
        <v>1</v>
      </c>
    </row>
    <row r="102" spans="1:11" x14ac:dyDescent="0.3">
      <c r="A102">
        <v>1101</v>
      </c>
      <c r="B102" t="s">
        <v>69</v>
      </c>
      <c r="C102" t="s">
        <v>15</v>
      </c>
      <c r="D102" t="s">
        <v>30</v>
      </c>
      <c r="E102" t="s">
        <v>20</v>
      </c>
      <c r="F102" t="s">
        <v>78</v>
      </c>
      <c r="G102">
        <v>5</v>
      </c>
      <c r="H102" s="1">
        <v>200</v>
      </c>
      <c r="I102" s="1">
        <v>1000</v>
      </c>
      <c r="J102" s="1">
        <f t="shared" si="3"/>
        <v>1000</v>
      </c>
      <c r="K102" t="b">
        <f>SalesData[[#This Row],[Check Sales]]=SalesData[[#This Row],[Total Sales]]</f>
        <v>1</v>
      </c>
    </row>
    <row r="103" spans="1:11" x14ac:dyDescent="0.3">
      <c r="A103">
        <v>1102</v>
      </c>
      <c r="B103" t="s">
        <v>14</v>
      </c>
      <c r="C103" t="s">
        <v>29</v>
      </c>
      <c r="D103" t="s">
        <v>30</v>
      </c>
      <c r="E103" t="s">
        <v>20</v>
      </c>
      <c r="F103" t="s">
        <v>32</v>
      </c>
      <c r="G103">
        <v>3</v>
      </c>
      <c r="H103" s="1">
        <v>200</v>
      </c>
      <c r="I103" s="1">
        <v>600</v>
      </c>
      <c r="J103" s="1">
        <f t="shared" si="3"/>
        <v>600</v>
      </c>
      <c r="K103" t="b">
        <f>SalesData[[#This Row],[Check Sales]]=SalesData[[#This Row],[Total Sales]]</f>
        <v>1</v>
      </c>
    </row>
    <row r="104" spans="1:11" x14ac:dyDescent="0.3">
      <c r="A104">
        <v>1103</v>
      </c>
      <c r="B104" t="s">
        <v>18</v>
      </c>
      <c r="C104" t="s">
        <v>29</v>
      </c>
      <c r="D104" t="s">
        <v>16</v>
      </c>
      <c r="E104" t="s">
        <v>12</v>
      </c>
      <c r="F104" t="s">
        <v>21</v>
      </c>
      <c r="G104">
        <v>8</v>
      </c>
      <c r="H104" s="1">
        <v>300</v>
      </c>
      <c r="I104" s="1">
        <v>2400</v>
      </c>
      <c r="J104" s="1">
        <f t="shared" si="3"/>
        <v>2400</v>
      </c>
      <c r="K104" t="b">
        <f>SalesData[[#This Row],[Check Sales]]=SalesData[[#This Row],[Total Sales]]</f>
        <v>1</v>
      </c>
    </row>
    <row r="105" spans="1:11" x14ac:dyDescent="0.3">
      <c r="A105">
        <v>1104</v>
      </c>
      <c r="B105" t="s">
        <v>101</v>
      </c>
      <c r="C105" t="s">
        <v>15</v>
      </c>
      <c r="D105" t="s">
        <v>11</v>
      </c>
      <c r="E105" t="s">
        <v>12</v>
      </c>
      <c r="F105" t="s">
        <v>40</v>
      </c>
      <c r="G105">
        <v>8</v>
      </c>
      <c r="H105" s="1">
        <v>900</v>
      </c>
      <c r="I105" s="1">
        <v>7200</v>
      </c>
      <c r="J105" s="1">
        <f t="shared" si="3"/>
        <v>7200</v>
      </c>
      <c r="K105" t="b">
        <f>SalesData[[#This Row],[Check Sales]]=SalesData[[#This Row],[Total Sales]]</f>
        <v>1</v>
      </c>
    </row>
    <row r="106" spans="1:11" x14ac:dyDescent="0.3">
      <c r="A106">
        <v>1105</v>
      </c>
      <c r="B106" t="s">
        <v>36</v>
      </c>
      <c r="C106" t="s">
        <v>29</v>
      </c>
      <c r="D106" t="s">
        <v>16</v>
      </c>
      <c r="E106" t="s">
        <v>12</v>
      </c>
      <c r="F106" t="s">
        <v>56</v>
      </c>
      <c r="G106">
        <v>4</v>
      </c>
      <c r="H106" s="1">
        <v>300</v>
      </c>
      <c r="I106" s="1">
        <v>1200</v>
      </c>
      <c r="J106" s="1">
        <f t="shared" si="3"/>
        <v>1200</v>
      </c>
      <c r="K106" t="b">
        <f>SalesData[[#This Row],[Check Sales]]=SalesData[[#This Row],[Total Sales]]</f>
        <v>1</v>
      </c>
    </row>
    <row r="107" spans="1:11" x14ac:dyDescent="0.3">
      <c r="A107">
        <v>1106</v>
      </c>
      <c r="B107" t="s">
        <v>85</v>
      </c>
      <c r="C107" t="s">
        <v>29</v>
      </c>
      <c r="D107" t="s">
        <v>11</v>
      </c>
      <c r="E107" t="s">
        <v>12</v>
      </c>
      <c r="F107" t="s">
        <v>49</v>
      </c>
      <c r="G107">
        <v>4</v>
      </c>
      <c r="H107" s="1">
        <v>900</v>
      </c>
      <c r="I107" s="1">
        <v>3600</v>
      </c>
      <c r="J107" s="1">
        <f t="shared" si="3"/>
        <v>3600</v>
      </c>
      <c r="K107" t="b">
        <f>SalesData[[#This Row],[Check Sales]]=SalesData[[#This Row],[Total Sales]]</f>
        <v>1</v>
      </c>
    </row>
    <row r="108" spans="1:11" x14ac:dyDescent="0.3">
      <c r="A108">
        <v>1107</v>
      </c>
      <c r="B108" t="s">
        <v>73</v>
      </c>
      <c r="C108" t="s">
        <v>10</v>
      </c>
      <c r="D108" t="s">
        <v>26</v>
      </c>
      <c r="E108" t="s">
        <v>12</v>
      </c>
      <c r="F108" t="s">
        <v>42</v>
      </c>
      <c r="G108">
        <v>4</v>
      </c>
      <c r="H108" s="1">
        <v>250</v>
      </c>
      <c r="I108" s="1">
        <v>1000</v>
      </c>
      <c r="J108" s="1">
        <f t="shared" si="3"/>
        <v>1000</v>
      </c>
      <c r="K108" t="b">
        <f>SalesData[[#This Row],[Check Sales]]=SalesData[[#This Row],[Total Sales]]</f>
        <v>1</v>
      </c>
    </row>
    <row r="109" spans="1:11" x14ac:dyDescent="0.3">
      <c r="A109">
        <v>1108</v>
      </c>
      <c r="B109" t="s">
        <v>114</v>
      </c>
      <c r="C109" t="s">
        <v>25</v>
      </c>
      <c r="D109" t="s">
        <v>48</v>
      </c>
      <c r="E109" t="s">
        <v>12</v>
      </c>
      <c r="F109" t="s">
        <v>23</v>
      </c>
      <c r="G109">
        <v>8</v>
      </c>
      <c r="H109" s="1">
        <v>600</v>
      </c>
      <c r="I109" s="1">
        <v>4800</v>
      </c>
      <c r="J109" s="1">
        <f t="shared" si="3"/>
        <v>4800</v>
      </c>
      <c r="K109" t="b">
        <f>SalesData[[#This Row],[Check Sales]]=SalesData[[#This Row],[Total Sales]]</f>
        <v>1</v>
      </c>
    </row>
    <row r="110" spans="1:11" x14ac:dyDescent="0.3">
      <c r="A110">
        <v>1109</v>
      </c>
      <c r="B110" t="s">
        <v>115</v>
      </c>
      <c r="C110" t="s">
        <v>29</v>
      </c>
      <c r="D110" t="s">
        <v>19</v>
      </c>
      <c r="E110" t="s">
        <v>20</v>
      </c>
      <c r="F110" t="s">
        <v>17</v>
      </c>
      <c r="G110">
        <v>7</v>
      </c>
      <c r="H110" s="1">
        <v>350</v>
      </c>
      <c r="I110" s="1">
        <v>2450</v>
      </c>
      <c r="J110" s="1">
        <f t="shared" si="3"/>
        <v>2450</v>
      </c>
      <c r="K110" t="b">
        <f>SalesData[[#This Row],[Check Sales]]=SalesData[[#This Row],[Total Sales]]</f>
        <v>1</v>
      </c>
    </row>
    <row r="111" spans="1:11" x14ac:dyDescent="0.3">
      <c r="A111">
        <v>1110</v>
      </c>
      <c r="B111" t="s">
        <v>76</v>
      </c>
      <c r="C111" t="s">
        <v>10</v>
      </c>
      <c r="D111" t="s">
        <v>30</v>
      </c>
      <c r="E111" t="s">
        <v>20</v>
      </c>
      <c r="F111" t="s">
        <v>44</v>
      </c>
      <c r="G111">
        <v>5</v>
      </c>
      <c r="H111" s="1">
        <v>200</v>
      </c>
      <c r="I111" s="1">
        <v>1000</v>
      </c>
      <c r="J111" s="1">
        <f t="shared" si="3"/>
        <v>1000</v>
      </c>
      <c r="K111" t="b">
        <f>SalesData[[#This Row],[Check Sales]]=SalesData[[#This Row],[Total Sales]]</f>
        <v>1</v>
      </c>
    </row>
    <row r="112" spans="1:11" x14ac:dyDescent="0.3">
      <c r="A112">
        <v>1111</v>
      </c>
      <c r="B112" t="s">
        <v>116</v>
      </c>
      <c r="C112" t="s">
        <v>25</v>
      </c>
      <c r="D112" t="s">
        <v>16</v>
      </c>
      <c r="E112" t="s">
        <v>12</v>
      </c>
      <c r="F112" t="s">
        <v>49</v>
      </c>
      <c r="G112">
        <v>7</v>
      </c>
      <c r="H112" s="1">
        <v>300</v>
      </c>
      <c r="I112" s="1">
        <v>2100</v>
      </c>
      <c r="J112" s="1">
        <f t="shared" si="3"/>
        <v>2100</v>
      </c>
      <c r="K112" t="b">
        <f>SalesData[[#This Row],[Check Sales]]=SalesData[[#This Row],[Total Sales]]</f>
        <v>1</v>
      </c>
    </row>
    <row r="113" spans="1:11" x14ac:dyDescent="0.3">
      <c r="A113">
        <v>1112</v>
      </c>
      <c r="B113" t="s">
        <v>117</v>
      </c>
      <c r="C113" t="s">
        <v>29</v>
      </c>
      <c r="D113" t="s">
        <v>26</v>
      </c>
      <c r="E113" t="s">
        <v>12</v>
      </c>
      <c r="F113" t="s">
        <v>75</v>
      </c>
      <c r="G113">
        <v>8</v>
      </c>
      <c r="H113" s="1">
        <v>250</v>
      </c>
      <c r="I113" s="1">
        <v>2000</v>
      </c>
      <c r="J113" s="1">
        <f t="shared" si="3"/>
        <v>2000</v>
      </c>
      <c r="K113" t="b">
        <f>SalesData[[#This Row],[Check Sales]]=SalesData[[#This Row],[Total Sales]]</f>
        <v>1</v>
      </c>
    </row>
    <row r="114" spans="1:11" x14ac:dyDescent="0.3">
      <c r="A114">
        <v>1113</v>
      </c>
      <c r="B114" t="s">
        <v>69</v>
      </c>
      <c r="C114" t="s">
        <v>29</v>
      </c>
      <c r="D114" t="s">
        <v>48</v>
      </c>
      <c r="E114" t="s">
        <v>12</v>
      </c>
      <c r="F114" t="s">
        <v>78</v>
      </c>
      <c r="G114">
        <v>8</v>
      </c>
      <c r="H114" s="1">
        <v>600</v>
      </c>
      <c r="I114" s="1">
        <v>4800</v>
      </c>
      <c r="J114" s="1">
        <f t="shared" si="3"/>
        <v>4800</v>
      </c>
      <c r="K114" t="b">
        <f>SalesData[[#This Row],[Check Sales]]=SalesData[[#This Row],[Total Sales]]</f>
        <v>1</v>
      </c>
    </row>
    <row r="115" spans="1:11" x14ac:dyDescent="0.3">
      <c r="A115">
        <v>1114</v>
      </c>
      <c r="B115" t="s">
        <v>88</v>
      </c>
      <c r="C115" t="s">
        <v>25</v>
      </c>
      <c r="D115" t="s">
        <v>16</v>
      </c>
      <c r="E115" t="s">
        <v>12</v>
      </c>
      <c r="F115" t="s">
        <v>40</v>
      </c>
      <c r="G115">
        <v>2</v>
      </c>
      <c r="H115" s="1">
        <v>300</v>
      </c>
      <c r="I115" s="1">
        <v>600</v>
      </c>
      <c r="J115" s="1">
        <f t="shared" si="3"/>
        <v>600</v>
      </c>
      <c r="K115" t="b">
        <f>SalesData[[#This Row],[Check Sales]]=SalesData[[#This Row],[Total Sales]]</f>
        <v>1</v>
      </c>
    </row>
    <row r="116" spans="1:11" x14ac:dyDescent="0.3">
      <c r="A116">
        <v>1115</v>
      </c>
      <c r="B116" t="s">
        <v>107</v>
      </c>
      <c r="C116" t="s">
        <v>15</v>
      </c>
      <c r="D116" t="s">
        <v>35</v>
      </c>
      <c r="E116" t="s">
        <v>20</v>
      </c>
      <c r="F116" t="s">
        <v>82</v>
      </c>
      <c r="G116">
        <v>2</v>
      </c>
      <c r="H116" s="1">
        <v>120</v>
      </c>
      <c r="I116" s="1">
        <v>240</v>
      </c>
      <c r="J116" s="1">
        <f t="shared" si="3"/>
        <v>240</v>
      </c>
      <c r="K116" t="b">
        <f>SalesData[[#This Row],[Check Sales]]=SalesData[[#This Row],[Total Sales]]</f>
        <v>1</v>
      </c>
    </row>
    <row r="117" spans="1:11" x14ac:dyDescent="0.3">
      <c r="A117">
        <v>1116</v>
      </c>
      <c r="B117" t="s">
        <v>28</v>
      </c>
      <c r="C117" t="s">
        <v>15</v>
      </c>
      <c r="D117" t="s">
        <v>26</v>
      </c>
      <c r="E117" t="s">
        <v>12</v>
      </c>
      <c r="F117" t="s">
        <v>53</v>
      </c>
      <c r="G117">
        <v>8</v>
      </c>
      <c r="H117" s="1">
        <v>250</v>
      </c>
      <c r="I117" s="1">
        <v>2000</v>
      </c>
      <c r="J117" s="1">
        <f t="shared" si="3"/>
        <v>2000</v>
      </c>
      <c r="K117" t="b">
        <f>SalesData[[#This Row],[Check Sales]]=SalesData[[#This Row],[Total Sales]]</f>
        <v>1</v>
      </c>
    </row>
    <row r="118" spans="1:11" x14ac:dyDescent="0.3">
      <c r="A118">
        <v>1117</v>
      </c>
      <c r="B118" t="s">
        <v>85</v>
      </c>
      <c r="C118" t="s">
        <v>15</v>
      </c>
      <c r="D118" t="s">
        <v>19</v>
      </c>
      <c r="E118" t="s">
        <v>20</v>
      </c>
      <c r="F118" t="s">
        <v>42</v>
      </c>
      <c r="G118">
        <v>4</v>
      </c>
      <c r="H118" s="1">
        <v>350</v>
      </c>
      <c r="I118" s="1">
        <v>1400</v>
      </c>
      <c r="J118" s="1">
        <f t="shared" si="3"/>
        <v>1400</v>
      </c>
      <c r="K118" t="b">
        <f>SalesData[[#This Row],[Check Sales]]=SalesData[[#This Row],[Total Sales]]</f>
        <v>1</v>
      </c>
    </row>
    <row r="119" spans="1:11" x14ac:dyDescent="0.3">
      <c r="A119">
        <v>1118</v>
      </c>
      <c r="B119" t="s">
        <v>55</v>
      </c>
      <c r="C119" t="s">
        <v>25</v>
      </c>
      <c r="D119" t="s">
        <v>26</v>
      </c>
      <c r="E119" t="s">
        <v>12</v>
      </c>
      <c r="F119" t="s">
        <v>53</v>
      </c>
      <c r="G119">
        <v>4</v>
      </c>
      <c r="H119" s="1">
        <v>250</v>
      </c>
      <c r="I119" s="1">
        <v>1000</v>
      </c>
      <c r="J119" s="1">
        <f t="shared" si="3"/>
        <v>1000</v>
      </c>
      <c r="K119" t="b">
        <f>SalesData[[#This Row],[Check Sales]]=SalesData[[#This Row],[Total Sales]]</f>
        <v>1</v>
      </c>
    </row>
    <row r="120" spans="1:11" x14ac:dyDescent="0.3">
      <c r="A120">
        <v>1119</v>
      </c>
      <c r="B120" t="s">
        <v>70</v>
      </c>
      <c r="C120" t="s">
        <v>29</v>
      </c>
      <c r="D120" t="s">
        <v>19</v>
      </c>
      <c r="E120" t="s">
        <v>20</v>
      </c>
      <c r="F120" t="s">
        <v>72</v>
      </c>
      <c r="G120">
        <v>7</v>
      </c>
      <c r="H120" s="1">
        <v>350</v>
      </c>
      <c r="I120" s="1">
        <v>2450</v>
      </c>
      <c r="J120" s="1">
        <f t="shared" si="3"/>
        <v>2450</v>
      </c>
      <c r="K120" t="b">
        <f>SalesData[[#This Row],[Check Sales]]=SalesData[[#This Row],[Total Sales]]</f>
        <v>1</v>
      </c>
    </row>
    <row r="121" spans="1:11" x14ac:dyDescent="0.3">
      <c r="A121">
        <v>1120</v>
      </c>
      <c r="B121" t="s">
        <v>83</v>
      </c>
      <c r="C121" t="s">
        <v>10</v>
      </c>
      <c r="D121" t="s">
        <v>19</v>
      </c>
      <c r="E121" t="s">
        <v>20</v>
      </c>
      <c r="F121" t="s">
        <v>40</v>
      </c>
      <c r="G121">
        <v>1</v>
      </c>
      <c r="H121" s="1">
        <v>350</v>
      </c>
      <c r="I121" s="1">
        <v>350</v>
      </c>
      <c r="J121" s="1">
        <f t="shared" si="3"/>
        <v>350</v>
      </c>
      <c r="K121" t="b">
        <f>SalesData[[#This Row],[Check Sales]]=SalesData[[#This Row],[Total Sales]]</f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Retail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idasha lee</cp:lastModifiedBy>
  <dcterms:created xsi:type="dcterms:W3CDTF">2026-04-09T23:31:24Z</dcterms:created>
  <dcterms:modified xsi:type="dcterms:W3CDTF">2026-10-20T00:25:20Z</dcterms:modified>
</cp:coreProperties>
</file>